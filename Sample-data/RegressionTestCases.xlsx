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n8n-files\"/>
    </mc:Choice>
  </mc:AlternateContent>
  <xr:revisionPtr revIDLastSave="0" documentId="13_ncr:1_{CBF75129-3BD5-49B2-B043-4CE540F932C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ad Me" sheetId="1" r:id="rId1"/>
    <sheet name="Test Cases" sheetId="2" r:id="rId2"/>
    <sheet name="Test Data" sheetId="3" r:id="rId3"/>
    <sheet name="Execution Summary" sheetId="4" r:id="rId4"/>
    <sheet name="Traceability" sheetId="5" r:id="rId5"/>
  </sheets>
  <definedNames>
    <definedName name="_xlnm._FilterDatabase" localSheetId="1" hidden="1">'Test Cases'!$A$1:$P$45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5" l="1"/>
  <c r="D19" i="5"/>
  <c r="C19" i="5"/>
  <c r="F19" i="5" s="1"/>
  <c r="E18" i="5"/>
  <c r="D18" i="5"/>
  <c r="C18" i="5"/>
  <c r="F18" i="5" s="1"/>
  <c r="E17" i="5"/>
  <c r="D17" i="5"/>
  <c r="C17" i="5"/>
  <c r="F17" i="5" s="1"/>
  <c r="E16" i="5"/>
  <c r="D16" i="5"/>
  <c r="C16" i="5"/>
  <c r="F16" i="5" s="1"/>
  <c r="E15" i="5"/>
  <c r="D15" i="5"/>
  <c r="C15" i="5"/>
  <c r="F15" i="5" s="1"/>
  <c r="E14" i="5"/>
  <c r="D14" i="5"/>
  <c r="C14" i="5"/>
  <c r="F14" i="5" s="1"/>
  <c r="E13" i="5"/>
  <c r="D13" i="5"/>
  <c r="C13" i="5"/>
  <c r="F13" i="5" s="1"/>
  <c r="E12" i="5"/>
  <c r="D12" i="5"/>
  <c r="C12" i="5"/>
  <c r="F12" i="5" s="1"/>
  <c r="E11" i="5"/>
  <c r="D11" i="5"/>
  <c r="C11" i="5"/>
  <c r="F11" i="5" s="1"/>
  <c r="E10" i="5"/>
  <c r="D10" i="5"/>
  <c r="C10" i="5"/>
  <c r="F10" i="5" s="1"/>
  <c r="E9" i="5"/>
  <c r="D9" i="5"/>
  <c r="C9" i="5"/>
  <c r="F9" i="5" s="1"/>
  <c r="E8" i="5"/>
  <c r="D8" i="5"/>
  <c r="C8" i="5"/>
  <c r="F8" i="5" s="1"/>
  <c r="E7" i="5"/>
  <c r="D7" i="5"/>
  <c r="C7" i="5"/>
  <c r="F7" i="5" s="1"/>
  <c r="E6" i="5"/>
  <c r="D6" i="5"/>
  <c r="C6" i="5"/>
  <c r="F6" i="5" s="1"/>
  <c r="E5" i="5"/>
  <c r="E21" i="5" s="1"/>
  <c r="D5" i="5"/>
  <c r="D21" i="5" s="1"/>
  <c r="C5" i="5"/>
  <c r="C21" i="5" s="1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0" i="4"/>
  <c r="C20" i="4"/>
  <c r="B20" i="4"/>
  <c r="D19" i="4"/>
  <c r="C19" i="4"/>
  <c r="B19" i="4"/>
  <c r="D18" i="4"/>
  <c r="C18" i="4"/>
  <c r="B18" i="4"/>
  <c r="B12" i="4"/>
  <c r="B11" i="4"/>
  <c r="B10" i="4"/>
  <c r="B9" i="4"/>
  <c r="B8" i="4"/>
  <c r="B7" i="4"/>
  <c r="B6" i="4"/>
  <c r="B5" i="4"/>
  <c r="B13" i="4" s="1"/>
  <c r="B21" i="3"/>
  <c r="B20" i="3"/>
  <c r="B19" i="3"/>
  <c r="B18" i="3"/>
  <c r="B17" i="3"/>
  <c r="B16" i="3"/>
  <c r="B15" i="3"/>
  <c r="F5" i="5" l="1"/>
</calcChain>
</file>

<file path=xl/sharedStrings.xml><?xml version="1.0" encoding="utf-8"?>
<sst xmlns="http://schemas.openxmlformats.org/spreadsheetml/2006/main" count="990" uniqueCount="533">
  <si>
    <t>Purpose</t>
  </si>
  <si>
    <t>Regression pack for the Fund Transfer Service. Every case traces to a business rule in FundTransferRequirements.pdf (FTR-BRD-v3.2).</t>
  </si>
  <si>
    <t>Data notice</t>
  </si>
  <si>
    <t>All accounts, customers, beneficiaries, and results are fabricated for training. No production banking data is present.</t>
  </si>
  <si>
    <t>Suite version</t>
  </si>
  <si>
    <t>3.2.0</t>
  </si>
  <si>
    <t>Cycle</t>
  </si>
  <si>
    <t>REG-2026-08-CYCLE-03</t>
  </si>
  <si>
    <t>Execution window</t>
  </si>
  <si>
    <t>03-Aug-2026 to 07-Aug-2026</t>
  </si>
  <si>
    <t>Environment</t>
  </si>
  <si>
    <t>UAT2 - core banking simulator, OTP stub, sanction screening stub</t>
  </si>
  <si>
    <t>Test lead</t>
  </si>
  <si>
    <t>S. Menon</t>
  </si>
  <si>
    <t>SHEET GUIDE</t>
  </si>
  <si>
    <t>Test Cases</t>
  </si>
  <si>
    <t>44 regression cases. Columns K to O are the only cells a tester should edit.</t>
  </si>
  <si>
    <t>Test Data</t>
  </si>
  <si>
    <t>Mock accounts, customers, and beneficiaries referenced by the cases.</t>
  </si>
  <si>
    <t>Execution Summary</t>
  </si>
  <si>
    <t>Formula-driven roll-up. Do not type values here.</t>
  </si>
  <si>
    <t>Traceability</t>
  </si>
  <si>
    <t>Business rule to test case coverage and pass rate. Formula-driven.</t>
  </si>
  <si>
    <t>EDITABLE CELLS (yellow fill)</t>
  </si>
  <si>
    <t>Test Cases!K</t>
  </si>
  <si>
    <t>Actual Result - free text</t>
  </si>
  <si>
    <t>Test Cases!L</t>
  </si>
  <si>
    <t>Status - Pass / Fail / Blocked / Not Run</t>
  </si>
  <si>
    <t>Test Cases!M</t>
  </si>
  <si>
    <t>Last Executed - date</t>
  </si>
  <si>
    <t>Test Cases!N</t>
  </si>
  <si>
    <t>Executed By - initials</t>
  </si>
  <si>
    <t>Test Cases!O</t>
  </si>
  <si>
    <t>Linked Defect - DEF-xxxx or blank</t>
  </si>
  <si>
    <t>EXAMPLE ROW FORMAT</t>
  </si>
  <si>
    <t>TC-FT-001 | BR-001 | Pass | 2026-08-03 | SM | (blank defect)</t>
  </si>
  <si>
    <t>TestCaseID</t>
  </si>
  <si>
    <t>Title</t>
  </si>
  <si>
    <t>RequirementID</t>
  </si>
  <si>
    <t>Module</t>
  </si>
  <si>
    <t>TestType</t>
  </si>
  <si>
    <t>Priority</t>
  </si>
  <si>
    <t>Preconditions</t>
  </si>
  <si>
    <t>TestSteps</t>
  </si>
  <si>
    <t>TestData</t>
  </si>
  <si>
    <t>ExpectedResult</t>
  </si>
  <si>
    <t>ActualResult</t>
  </si>
  <si>
    <t>Status</t>
  </si>
  <si>
    <t>LastExecuted</t>
  </si>
  <si>
    <t>ExecutedBy</t>
  </si>
  <si>
    <t>LinkedDefect</t>
  </si>
  <si>
    <t>Automated</t>
  </si>
  <si>
    <t>TC-FT-001</t>
  </si>
  <si>
    <t>Single transfer at the exact limit of AED 50,000</t>
  </si>
  <si>
    <t>BR-001</t>
  </si>
  <si>
    <t>Transfer Core</t>
  </si>
  <si>
    <t>Boundary</t>
  </si>
  <si>
    <t>High</t>
  </si>
  <si>
    <t>Account ACC-1001 holds AED 120,000 and is ACTIVE. Beneficiary BEN-4471029 is ACTIVE.</t>
  </si>
  <si>
    <t>1. Log in as CUST-70012. 2. Select ACC-1001 as source. 3. Enter 50000.00. 4. Confirm with OTP.</t>
  </si>
  <si>
    <t>amount=50000.00; currency=AED; beneficiary=BEN-4471029</t>
  </si>
  <si>
    <t>Transfer is accepted. HTTP 201 with a transactionId in the format TRX-YYYYMMDD-XXXXXXXX.</t>
  </si>
  <si>
    <t>As expected.</t>
  </si>
  <si>
    <t>Pass</t>
  </si>
  <si>
    <t>2026-08-03</t>
  </si>
  <si>
    <t>SM</t>
  </si>
  <si>
    <t>Yes</t>
  </si>
  <si>
    <t>TC-FT-002</t>
  </si>
  <si>
    <t>Single transfer one fils above the limit</t>
  </si>
  <si>
    <t>Negative</t>
  </si>
  <si>
    <t>Account ACC-1001 holds AED 120,000.</t>
  </si>
  <si>
    <t>1. Enter 50000.01 as the amount. 2. Submit.</t>
  </si>
  <si>
    <t>amount=50000.01; currency=AED</t>
  </si>
  <si>
    <t>Rejected with HTTP 422 and code TRF-4001. Message names the AED 50,000 limit.</t>
  </si>
  <si>
    <t>TC-FT-003</t>
  </si>
  <si>
    <t>Foreign currency amount converted before the limit check</t>
  </si>
  <si>
    <t>Functional</t>
  </si>
  <si>
    <t>Medium</t>
  </si>
  <si>
    <t>Account ACC-1004 is USD enabled. Card rate USD 1 = AED 3.673.</t>
  </si>
  <si>
    <t>1. Submit an international transfer of USD 20,000. 2. Observe the converted AED value in the error body.</t>
  </si>
  <si>
    <t>amount=20000.00; currency=USD; converted=73460.00</t>
  </si>
  <si>
    <t>Rejected with TRF-4001 because the converted amount exceeds AED 50,000.</t>
  </si>
  <si>
    <t>FQ</t>
  </si>
  <si>
    <t>TC-FT-004</t>
  </si>
  <si>
    <t>Daily cumulative total below the AED 100,000 ceiling</t>
  </si>
  <si>
    <t>BR-002</t>
  </si>
  <si>
    <t>Limits Service</t>
  </si>
  <si>
    <t>CUST-70012 has transferred AED 95,000 today.</t>
  </si>
  <si>
    <t>1. Submit a further transfer of AED 5,000. 2. Check dailyLimitRemaining in the response.</t>
  </si>
  <si>
    <t>consumedToday=95000.00; amount=5000.00</t>
  </si>
  <si>
    <t>Accepted. dailyLimitRemaining equals 0.00.</t>
  </si>
  <si>
    <t>2026-08-04</t>
  </si>
  <si>
    <t>TC-FT-005</t>
  </si>
  <si>
    <t>Daily limit breached by one fils</t>
  </si>
  <si>
    <t>1. Submit a transfer of AED 5,000.01. 2. Immediately submit four more transfers and compare dailyLimitRemaining.</t>
  </si>
  <si>
    <t>consumedToday=95000.00; amount=5000.01</t>
  </si>
  <si>
    <t>Rejected with TRF-4002. dailyLimitRemaining is accurate in every response.</t>
  </si>
  <si>
    <t>Rejection is correct but dailyLimitRemaining repeats a stale value across consecutive responses.</t>
  </si>
  <si>
    <t>Fail</t>
  </si>
  <si>
    <t>DEF-1019</t>
  </si>
  <si>
    <t>TC-FT-006</t>
  </si>
  <si>
    <t>Failed transfer does not consume the daily allowance</t>
  </si>
  <si>
    <t>Core banking stub configured to return a timeout.</t>
  </si>
  <si>
    <t>1. Submit AED 30,000 and force TRF-5001. 2. Query /v1/limits/utilisation.</t>
  </si>
  <si>
    <t>amount=30000.00; forcedError=TRF-5001</t>
  </si>
  <si>
    <t>consumedToday is unchanged by the failed transfer.</t>
  </si>
  <si>
    <t>As expected after the 2.6.0 fix.</t>
  </si>
  <si>
    <t>TC-FT-007</t>
  </si>
  <si>
    <t>Transfer equal to the available balance</t>
  </si>
  <si>
    <t>BR-003</t>
  </si>
  <si>
    <t>Account ACC-1002 holds an available balance of AED 10,000 with no fee on internal transfers.</t>
  </si>
  <si>
    <t>1. Submit an internal transfer of AED 10,000.</t>
  </si>
  <si>
    <t>availableBalance=10000.00; amount=10000.00; fee=0.00</t>
  </si>
  <si>
    <t>Accepted. The resulting balance is 0.00.</t>
  </si>
  <si>
    <t>AH</t>
  </si>
  <si>
    <t>TC-FT-008</t>
  </si>
  <si>
    <t>Amount plus fee exceeds the available balance</t>
  </si>
  <si>
    <t>Account ACC-1002 holds AED 10,000. International fee is AED 26.25.</t>
  </si>
  <si>
    <t>1. Submit an international transfer of AED 10,000.</t>
  </si>
  <si>
    <t>availableBalance=10000.00; amount=10000.00; fee=26.25</t>
  </si>
  <si>
    <t>Rejected with TRF-4003.</t>
  </si>
  <si>
    <t>TC-FT-009</t>
  </si>
  <si>
    <t>Overdraft facility included in the available balance</t>
  </si>
  <si>
    <t>Account ACC-1006 holds AED 1,000 with an approved overdraft of AED 5,000.</t>
  </si>
  <si>
    <t>1. Submit a transfer of AED 6,000.</t>
  </si>
  <si>
    <t>ledgerBalance=1000.00; overdraftLimit=5000.00; amount=6000.00</t>
  </si>
  <si>
    <t>Accepted. The account closes at minus AED 5,000 within the facility.</t>
  </si>
  <si>
    <t>TC-FT-010</t>
  </si>
  <si>
    <t>Transfer to an ACTIVE beneficiary</t>
  </si>
  <si>
    <t>BR-004</t>
  </si>
  <si>
    <t>Beneficiary Service</t>
  </si>
  <si>
    <t>BEN-4471029 is ACTIVE and was activated more than 30 minutes ago.</t>
  </si>
  <si>
    <t>1. Submit a transfer of AED 1,500.</t>
  </si>
  <si>
    <t>beneficiary=BEN-4471029; status=ACTIVE</t>
  </si>
  <si>
    <t>Accepted.</t>
  </si>
  <si>
    <t>TC-FT-011</t>
  </si>
  <si>
    <t>Transfer to a SUSPENDED beneficiary returns a generic message</t>
  </si>
  <si>
    <t>BEN-5510388 is SUSPENDED.</t>
  </si>
  <si>
    <t>1. Submit a transfer of AED 1,000. 2. Inspect the response body for internal wording.</t>
  </si>
  <si>
    <t>beneficiary=BEN-5510388; status=SUSPENDED</t>
  </si>
  <si>
    <t>Rejected with TRF-4004 and a generic message that does not name the suspension.</t>
  </si>
  <si>
    <t>As expected after the 3.2.0 fix.</t>
  </si>
  <si>
    <t>2026-08-05</t>
  </si>
  <si>
    <t>TC-FT-012</t>
  </si>
  <si>
    <t>Beneficiary belonging to another customer</t>
  </si>
  <si>
    <t>Security</t>
  </si>
  <si>
    <t>BEN-6620144 belongs to CUST-70099.</t>
  </si>
  <si>
    <t>1. Authenticate as CUST-70012. 2. Submit a transfer referencing BEN-6620144.</t>
  </si>
  <si>
    <t>beneficiary=BEN-6620144; owner=CUST-70099</t>
  </si>
  <si>
    <t>Rejected with TRF-4004 so that beneficiary IDs cannot be enumerated.</t>
  </si>
  <si>
    <t>Returns HTTP 403 with a distinct body, which allows enumeration.</t>
  </si>
  <si>
    <t>DEF-1011</t>
  </si>
  <si>
    <t>TC-FT-013</t>
  </si>
  <si>
    <t>No OTP required at exactly AED 25,000</t>
  </si>
  <si>
    <t>BR-005</t>
  </si>
  <si>
    <t>OTP Service</t>
  </si>
  <si>
    <t>Account ACC-1001 is funded. Fee applies but is excluded from the threshold.</t>
  </si>
  <si>
    <t>1. Submit a transfer of AED 25,000.00.</t>
  </si>
  <si>
    <t>amount=25000.00; fee=1.05</t>
  </si>
  <si>
    <t>Accepted without OTP. Status is COMPLETED, not AWAITING_OTP.</t>
  </si>
  <si>
    <t>As expected after the 3.1.0 fix.</t>
  </si>
  <si>
    <t>TC-FT-014</t>
  </si>
  <si>
    <t>OTP required one fils above the threshold</t>
  </si>
  <si>
    <t>Account ACC-1001 is funded.</t>
  </si>
  <si>
    <t>1. Submit a transfer of AED 25,000.01. 2. Observe the response status.</t>
  </si>
  <si>
    <t>amount=25000.01</t>
  </si>
  <si>
    <t>HTTP 202 with status AWAITING_OTP, an otpReference, and attemptsRemaining of 3.</t>
  </si>
  <si>
    <t>TC-FT-015</t>
  </si>
  <si>
    <t>OTP expires after 180 seconds</t>
  </si>
  <si>
    <t>A transfer of AED 30,000 is in AWAITING_OTP.</t>
  </si>
  <si>
    <t>1. Wait 181 seconds. 2. Submit the correct OTP.</t>
  </si>
  <si>
    <t>amount=30000.00; delaySeconds=181</t>
  </si>
  <si>
    <t>Rejected with TRF-4007.</t>
  </si>
  <si>
    <t>TC-FT-016</t>
  </si>
  <si>
    <t>Transfer abandoned after three wrong OTP attempts</t>
  </si>
  <si>
    <t>1. Submit a wrong OTP three times. 2. Submit the correct OTP.</t>
  </si>
  <si>
    <t>wrongAttempts=3</t>
  </si>
  <si>
    <t>Status becomes ABANDONED. The correct OTP is refused with attemptsRemaining of 0.</t>
  </si>
  <si>
    <t>As expected after the 3.0.0 fix.</t>
  </si>
  <si>
    <t>TC-FT-017</t>
  </si>
  <si>
    <t>Zero amount rejected</t>
  </si>
  <si>
    <t>BR-006</t>
  </si>
  <si>
    <t>API Gateway</t>
  </si>
  <si>
    <t>Any funded account.</t>
  </si>
  <si>
    <t>1. Submit a transfer with an amount of 0.</t>
  </si>
  <si>
    <t>amount=0</t>
  </si>
  <si>
    <t>Rejected with HTTP 400 and TRF-4008. No downstream call is made.</t>
  </si>
  <si>
    <t>TC-FT-018</t>
  </si>
  <si>
    <t>Negative amount rejected</t>
  </si>
  <si>
    <t>1. Submit a transfer with an amount of -100.</t>
  </si>
  <si>
    <t>amount=-100</t>
  </si>
  <si>
    <t>Rejected with HTTP 400 and TRF-4008.</t>
  </si>
  <si>
    <t>TC-FT-019</t>
  </si>
  <si>
    <t>Amount with three decimal places rejected</t>
  </si>
  <si>
    <t>1. Submit a transfer with an amount of 100.126.</t>
  </si>
  <si>
    <t>amount=100.126</t>
  </si>
  <si>
    <t>Rejected with TRF-4008.</t>
  </si>
  <si>
    <t>Amount is silently rounded to 100.13 and the transfer proceeds.</t>
  </si>
  <si>
    <t>DEF-1018</t>
  </si>
  <si>
    <t>TC-FT-020</t>
  </si>
  <si>
    <t>Identical source and destination rejected</t>
  </si>
  <si>
    <t>BR-007</t>
  </si>
  <si>
    <t>ACC-1001 is registered as its own beneficiary in the test fixture.</t>
  </si>
  <si>
    <t>1. Submit a transfer where source and destination IBANs match.</t>
  </si>
  <si>
    <t>source=AE070331234567890123456; destination=AE070331234567890123456</t>
  </si>
  <si>
    <t>Rejected with TRF-4009.</t>
  </si>
  <si>
    <t>TC-FT-021</t>
  </si>
  <si>
    <t>IBAN normalisation before the identity check</t>
  </si>
  <si>
    <t>Same as TC-FT-020 but the source IBAN is entered with spaces.</t>
  </si>
  <si>
    <t>1. Submit with source "AE07 0331 2345 6789 0123 456" and an identical destination without spaces.</t>
  </si>
  <si>
    <t>source contains spaces; destination does not</t>
  </si>
  <si>
    <t>Both values are normalised and the request is rejected with TRF-4009.</t>
  </si>
  <si>
    <t>TC-FT-022</t>
  </si>
  <si>
    <t>Transfer in a currency enabled on the account</t>
  </si>
  <si>
    <t>BR-008</t>
  </si>
  <si>
    <t>ACC-1004 supports AED and USD.</t>
  </si>
  <si>
    <t>1. Submit a USD 500 transfer from ACC-1004.</t>
  </si>
  <si>
    <t>currency=USD; supportedCurrencies=[AED,USD]</t>
  </si>
  <si>
    <t>2026-08-06</t>
  </si>
  <si>
    <t>TC-FT-023</t>
  </si>
  <si>
    <t>Transfer in a currency not enabled on the account</t>
  </si>
  <si>
    <t>ACC-1001 supports AED only.</t>
  </si>
  <si>
    <t>1. Submit a JPY 10,000 transfer from ACC-1001.</t>
  </si>
  <si>
    <t>currency=JPY; supportedCurrencies=[AED]</t>
  </si>
  <si>
    <t>Rejected with TRF-4010.</t>
  </si>
  <si>
    <t>TC-FT-024</t>
  </si>
  <si>
    <t>Frozen source account cannot transfer</t>
  </si>
  <si>
    <t>BR-009</t>
  </si>
  <si>
    <t>ACC-1005 carries status FRZ.</t>
  </si>
  <si>
    <t>1. Submit a transfer of AED 1,000 from ACC-1005.</t>
  </si>
  <si>
    <t>accountStatus=FRZ</t>
  </si>
  <si>
    <t>Rejected with HTTP 403 and TRF-4011. The message is generic.</t>
  </si>
  <si>
    <t>TC-FT-025</t>
  </si>
  <si>
    <t>Frozen internal destination account cannot receive</t>
  </si>
  <si>
    <t>Beneficiary BEN-7730255 maps to internal account ACC-1005 with status FRZ.</t>
  </si>
  <si>
    <t>1. Submit a transfer of AED 1,000 to BEN-7730255.</t>
  </si>
  <si>
    <t>destinationStatus=FRZ</t>
  </si>
  <si>
    <t>Rejected with TRF-4011.</t>
  </si>
  <si>
    <t>TC-FT-026</t>
  </si>
  <si>
    <t>Transaction ID format and presence</t>
  </si>
  <si>
    <t>BR-010</t>
  </si>
  <si>
    <t>Any successful transfer.</t>
  </si>
  <si>
    <t>1. Submit a transfer of AED 500. 2. Validate the transactionId against ^TRX-[0-9]{8}-[A-Z0-9]{8}$. 3. Check the Location header.</t>
  </si>
  <si>
    <t>amount=500.00</t>
  </si>
  <si>
    <t>The identifier matches the pattern and appears in both the body and the Location header.</t>
  </si>
  <si>
    <t>KI</t>
  </si>
  <si>
    <t>TC-FT-027</t>
  </si>
  <si>
    <t>Transaction ID immutable after reversal</t>
  </si>
  <si>
    <t>A completed transfer TRX-20260803-4KD91MZQ exists.</t>
  </si>
  <si>
    <t>1. Reverse the transfer. 2. Retrieve both records.</t>
  </si>
  <si>
    <t>originalTransactionId=TRX-20260803-4KD91MZQ</t>
  </si>
  <si>
    <t>The original identifier is unchanged and the reversal carries a new identifier referencing it.</t>
  </si>
  <si>
    <t>TC-FT-028</t>
  </si>
  <si>
    <t>Idempotent replay returns the original transfer</t>
  </si>
  <si>
    <t>BR-011</t>
  </si>
  <si>
    <t>No prior request with key K-8814.</t>
  </si>
  <si>
    <t>1. POST a transfer of AED 1,000 with key K-8814. 2. Repeat the identical request.</t>
  </si>
  <si>
    <t>idempotencyKey=K-8814; amount=1000.00 both times</t>
  </si>
  <si>
    <t>The second call returns HTTP 200 with the original transactionId and no second debit occurs.</t>
  </si>
  <si>
    <t>MR</t>
  </si>
  <si>
    <t>TC-FT-029</t>
  </si>
  <si>
    <t>New beneficiary limited to AED 5,000 inside the cooling window</t>
  </si>
  <si>
    <t>BR-012</t>
  </si>
  <si>
    <t>BEN-8840311 was activated 10 minutes ago.</t>
  </si>
  <si>
    <t>1. Submit a transfer of AED 5,000. 2. Submit a transfer of AED 5,001.</t>
  </si>
  <si>
    <t>activatedAt = now minus 10 minutes</t>
  </si>
  <si>
    <t>The first is accepted; the second is rejected with TRF-4013.</t>
  </si>
  <si>
    <t>2026-08-07</t>
  </si>
  <si>
    <t>TC-FT-030</t>
  </si>
  <si>
    <t>Value date shifts after the 21:00 GST cut-off</t>
  </si>
  <si>
    <t>BR-013</t>
  </si>
  <si>
    <t>Scheduling</t>
  </si>
  <si>
    <t>System clock set to 21:01 GST on a business day.</t>
  </si>
  <si>
    <t>1. Submit a domestic transfer of AED 2,000. 2. Read valueDate in the response.</t>
  </si>
  <si>
    <t>submittedAt=21:01 GST</t>
  </si>
  <si>
    <t>valueDate is the next business day and the customer is shown the shift before confirming.</t>
  </si>
  <si>
    <t>TC-FT-031</t>
  </si>
  <si>
    <t>Daily counter resets at 00:00 Gulf Standard Time</t>
  </si>
  <si>
    <t>Regression</t>
  </si>
  <si>
    <t>CUST-70012 consumed the full AED 100,000 allowance yesterday.</t>
  </si>
  <si>
    <t>1. Advance the clock to 00:00:01 GST. 2. Query /v1/limits/utilisation. 3. Submit a transfer of AED 10,000.</t>
  </si>
  <si>
    <t>windowResetsAt=00:00:00+04:00</t>
  </si>
  <si>
    <t>consumedToday reads 0.00 and the transfer is accepted.</t>
  </si>
  <si>
    <t>TC-FT-032</t>
  </si>
  <si>
    <t>Concurrent transfers cannot overdraw the account</t>
  </si>
  <si>
    <t>Concurrency</t>
  </si>
  <si>
    <t>ACC-1002 holds AED 10,000.</t>
  </si>
  <si>
    <t>1. Fire two transfers of AED 6,000 within 50 ms using distinct idempotency keys. 2. Check the closing balance.</t>
  </si>
  <si>
    <t>threads=2; amount=6000.00 each</t>
  </si>
  <si>
    <t>Exactly one succeeds; the other is rejected with TRF-4003. The balance never goes negative.</t>
  </si>
  <si>
    <t>As expected after the 2.5.0 fix.</t>
  </si>
  <si>
    <t>TC-FT-033</t>
  </si>
  <si>
    <t>OTP resend does not reset the attempt counter</t>
  </si>
  <si>
    <t>A transfer of AED 30,000 is in AWAITING_OTP with two failed attempts.</t>
  </si>
  <si>
    <t>1. Request an OTP resend. 2. Read attemptsRemaining.</t>
  </si>
  <si>
    <t>failedAttempts=2; resendCount=1</t>
  </si>
  <si>
    <t>attemptsRemaining stays at 1.</t>
  </si>
  <si>
    <t>attemptsRemaining resets to 3, permitting nine guesses across two resends.</t>
  </si>
  <si>
    <t>DEF-1020</t>
  </si>
  <si>
    <t>TC-FT-034</t>
  </si>
  <si>
    <t>Lower-case currency code normalised</t>
  </si>
  <si>
    <t>Low</t>
  </si>
  <si>
    <t>ACC-1001 supports AED.</t>
  </si>
  <si>
    <t>1. Submit a transfer with currency set to "aed".</t>
  </si>
  <si>
    <t>currency=aed</t>
  </si>
  <si>
    <t>The value is normalised to AED and the transfer is accepted.</t>
  </si>
  <si>
    <t>TC-FT-035</t>
  </si>
  <si>
    <t>Freeze applied between OTP issue and OTP verification</t>
  </si>
  <si>
    <t>A transfer of AED 30,000 is in AWAITING_OTP on ACC-1001.</t>
  </si>
  <si>
    <t>1. Freeze ACC-1001. 2. Submit the correct OTP.</t>
  </si>
  <si>
    <t>accountStatus changes to FRZ mid-flow</t>
  </si>
  <si>
    <t>Rejected with TRF-4011 because the rule chain re-runs at posting time.</t>
  </si>
  <si>
    <t>TC-FT-036</t>
  </si>
  <si>
    <t>Transaction ID uniqueness under load</t>
  </si>
  <si>
    <t>Performance</t>
  </si>
  <si>
    <t>Load harness configured for 400 transfers per second.</t>
  </si>
  <si>
    <t>1. Run for 10 minutes. 2. Group the transaction IDs and count duplicates.</t>
  </si>
  <si>
    <t>targetTps=400; durationMinutes=10</t>
  </si>
  <si>
    <t>Zero duplicate identifiers across the run.</t>
  </si>
  <si>
    <t>TC-FT-037</t>
  </si>
  <si>
    <t>Idempotency key replayed with a different body</t>
  </si>
  <si>
    <t>A transfer of AED 1,000 was created with key K-9021.</t>
  </si>
  <si>
    <t>1. POST a transfer of AED 9,000 reusing key K-9021.</t>
  </si>
  <si>
    <t>idempotencyKey=K-9021; amount=9000.00</t>
  </si>
  <si>
    <t>Rejected with HTTP 409 and TRF-4012.</t>
  </si>
  <si>
    <t>Returns HTTP 200 with the AED 1,000 transfer, so the customer believes AED 9,000 was sent.</t>
  </si>
  <si>
    <t>DEF-1006</t>
  </si>
  <si>
    <t>TC-FT-038</t>
  </si>
  <si>
    <t>Idempotency key expires after 24 hours</t>
  </si>
  <si>
    <t>Key K-7702 was used 25 hours ago.</t>
  </si>
  <si>
    <t>1. Replay the identical request with key K-7702.</t>
  </si>
  <si>
    <t>keyAgeHours=25</t>
  </si>
  <si>
    <t>Treated as a new request and a second transfer is created.</t>
  </si>
  <si>
    <t>TC-FT-039</t>
  </si>
  <si>
    <t>Cooling period measured from activation, not creation</t>
  </si>
  <si>
    <t>BEN-8840311 was created 40 minutes ago and activated 2 minutes ago.</t>
  </si>
  <si>
    <t>1. Submit a transfer of AED 20,000.</t>
  </si>
  <si>
    <t>createdAt = now minus 40 min; activatedAt = now minus 2 min</t>
  </si>
  <si>
    <t>Rejected with TRF-4013.</t>
  </si>
  <si>
    <t>Accepted, because the window is counted from creation.</t>
  </si>
  <si>
    <t>DEF-1015</t>
  </si>
  <si>
    <t>TC-FT-040</t>
  </si>
  <si>
    <t>Public holiday shifts the value date</t>
  </si>
  <si>
    <t>System date set to a configured UAE public holiday.</t>
  </si>
  <si>
    <t>1. Submit a domestic transfer at 10:00 GST. 2. Read valueDate.</t>
  </si>
  <si>
    <t>date=public holiday</t>
  </si>
  <si>
    <t>valueDate is the next business day.</t>
  </si>
  <si>
    <t>valueDate is set to the holiday itself and the clearing file is rejected by the scheme.</t>
  </si>
  <si>
    <t>DEF-1012</t>
  </si>
  <si>
    <t>TC-FT-041</t>
  </si>
  <si>
    <t>International transfer below AED 20,000 is still screened</t>
  </si>
  <si>
    <t>BR-014</t>
  </si>
  <si>
    <t>Compliance Integration</t>
  </si>
  <si>
    <t>Screening stub instrumented to log every call.</t>
  </si>
  <si>
    <t>1. Submit an international transfer of AED 500. 2. Inspect the screening call log.</t>
  </si>
  <si>
    <t>amount=500.00; transferType=INTERNATIONAL</t>
  </si>
  <si>
    <t>A screening call is made for every international transfer regardless of amount.</t>
  </si>
  <si>
    <t>No screening call is made; only the amount threshold is evaluated.</t>
  </si>
  <si>
    <t>CQ</t>
  </si>
  <si>
    <t>DEF-1017</t>
  </si>
  <si>
    <t>TC-FT-042</t>
  </si>
  <si>
    <t>Screening timeout fails closed</t>
  </si>
  <si>
    <t>Screening stub configured to sleep for 10 seconds.</t>
  </si>
  <si>
    <t>1. Submit a domestic transfer of AED 40,000. 2. Observe the resulting status.</t>
  </si>
  <si>
    <t>screeningDelaySeconds=10</t>
  </si>
  <si>
    <t>The transfer is held in PENDING_COMPLIANCE and is never auto-approved.</t>
  </si>
  <si>
    <t>TC-FT-043</t>
  </si>
  <si>
    <t>Audit record written for a rejected transfer</t>
  </si>
  <si>
    <t>BR-015</t>
  </si>
  <si>
    <t>Audit</t>
  </si>
  <si>
    <t>Audit store reachable from UAT2.</t>
  </si>
  <si>
    <t>1. Trigger a BR-001 rejection. 2. Query the audit store using the traceId from the error response.</t>
  </si>
  <si>
    <t>rejectionRule=BR-001</t>
  </si>
  <si>
    <t>An audit record exists naming BR-001, with no OTP value and no password stored.</t>
  </si>
  <si>
    <t>No audit record is written for rejections; only successes are captured.</t>
  </si>
  <si>
    <t>IA</t>
  </si>
  <si>
    <t>DEF-1014</t>
  </si>
  <si>
    <t>No</t>
  </si>
  <si>
    <t>TC-FT-044</t>
  </si>
  <si>
    <t>Audit records cannot be updated or deleted through the API</t>
  </si>
  <si>
    <t>At least one audit record exists.</t>
  </si>
  <si>
    <t>1. Attempt PUT and DELETE against the audit endpoint using an admin token.</t>
  </si>
  <si>
    <t>method=PUT and DELETE</t>
  </si>
  <si>
    <t>Both return HTTP 405 and the record is unchanged.</t>
  </si>
  <si>
    <t>MOCK TEST DATA - fabricated for training. No production banking data.</t>
  </si>
  <si>
    <t>ACCOUNTS</t>
  </si>
  <si>
    <t>AccountRef</t>
  </si>
  <si>
    <t>IBAN</t>
  </si>
  <si>
    <t>CustomerID</t>
  </si>
  <si>
    <t>AccountType</t>
  </si>
  <si>
    <t>LedgerBalanceAED</t>
  </si>
  <si>
    <t>HoldAED</t>
  </si>
  <si>
    <t>OverdraftAED</t>
  </si>
  <si>
    <t>SupportedCurrencies</t>
  </si>
  <si>
    <t>Notes</t>
  </si>
  <si>
    <t>ACC-1001</t>
  </si>
  <si>
    <t>AE070331234567890123456</t>
  </si>
  <si>
    <t>CUST-70012</t>
  </si>
  <si>
    <t>Current</t>
  </si>
  <si>
    <t>ACTIVE</t>
  </si>
  <si>
    <t>AED</t>
  </si>
  <si>
    <t>Primary happy-path account</t>
  </si>
  <si>
    <t>ACC-1002</t>
  </si>
  <si>
    <t>AE480260000012345678901</t>
  </si>
  <si>
    <t>Savings</t>
  </si>
  <si>
    <t>Used for balance boundary cases</t>
  </si>
  <si>
    <t>ACC-1003</t>
  </si>
  <si>
    <t>AE900500000098765432109</t>
  </si>
  <si>
    <t>CUST-70034</t>
  </si>
  <si>
    <t>DORMANT</t>
  </si>
  <si>
    <t>Dormant account fixture</t>
  </si>
  <si>
    <t>ACC-1004</t>
  </si>
  <si>
    <t>AE120345000011122233344</t>
  </si>
  <si>
    <t>Foreign Currency</t>
  </si>
  <si>
    <t>AED,USD,EUR</t>
  </si>
  <si>
    <t>Multi-currency fixture</t>
  </si>
  <si>
    <t>ACC-1005</t>
  </si>
  <si>
    <t>AE660410000055566677788</t>
  </si>
  <si>
    <t>CUST-70057</t>
  </si>
  <si>
    <t>FRZ</t>
  </si>
  <si>
    <t>Compliance freeze fixture</t>
  </si>
  <si>
    <t>ACC-1006</t>
  </si>
  <si>
    <t>AE220620000099988877766</t>
  </si>
  <si>
    <t>Overdraft fixture</t>
  </si>
  <si>
    <t>ACC-1007</t>
  </si>
  <si>
    <t>AE330710000044455566677</t>
  </si>
  <si>
    <t>CUST-70099</t>
  </si>
  <si>
    <t>AED,USD</t>
  </si>
  <si>
    <t>Hold amount fixture</t>
  </si>
  <si>
    <t>AVAILABLE BALANCE CHECK (formula, per BR-003: ledger - hold + overdraft)</t>
  </si>
  <si>
    <t>AvailableBalanceAED</t>
  </si>
  <si>
    <t>BENEFICIARIES</t>
  </si>
  <si>
    <t>BeneficiaryID</t>
  </si>
  <si>
    <t>Nickname</t>
  </si>
  <si>
    <t>OwnerCustomerID</t>
  </si>
  <si>
    <t>BankCode</t>
  </si>
  <si>
    <t>Type</t>
  </si>
  <si>
    <t>Currency</t>
  </si>
  <si>
    <t>ActivatedAt</t>
  </si>
  <si>
    <t>BEN-4471029</t>
  </si>
  <si>
    <t>Ahmed - Salary</t>
  </si>
  <si>
    <t>EBILAEAD</t>
  </si>
  <si>
    <t>DOMESTIC</t>
  </si>
  <si>
    <t>2025-11-02T11:33:00Z</t>
  </si>
  <si>
    <t>Standard happy path</t>
  </si>
  <si>
    <t>BEN-9982117</t>
  </si>
  <si>
    <t>University Fees</t>
  </si>
  <si>
    <t>GB29NWBK60161331926819</t>
  </si>
  <si>
    <t>NWBKGB2L</t>
  </si>
  <si>
    <t>INTERNATIONAL</t>
  </si>
  <si>
    <t>USD</t>
  </si>
  <si>
    <t>2026-01-18T08:15:00Z</t>
  </si>
  <si>
    <t>International fixture</t>
  </si>
  <si>
    <t>BEN-5510388</t>
  </si>
  <si>
    <t>Landlord</t>
  </si>
  <si>
    <t>ADCBAEAA</t>
  </si>
  <si>
    <t>SUSPENDED</t>
  </si>
  <si>
    <t>2026-03-09T13:50:00Z</t>
  </si>
  <si>
    <t>BR-004 negative fixture</t>
  </si>
  <si>
    <t>BEN-6620144</t>
  </si>
  <si>
    <t>Foreign owner</t>
  </si>
  <si>
    <t>2026-02-20T09:00:00Z</t>
  </si>
  <si>
    <t>Ownership security fixture</t>
  </si>
  <si>
    <t>BEN-7730255</t>
  </si>
  <si>
    <t>Frozen internal</t>
  </si>
  <si>
    <t>INTERNAL</t>
  </si>
  <si>
    <t>2025-05-14T06:30:00Z</t>
  </si>
  <si>
    <t>Maps to frozen ACC-1005</t>
  </si>
  <si>
    <t>BEN-8840311</t>
  </si>
  <si>
    <t>Newly added</t>
  </si>
  <si>
    <t>dynamic - now minus 2 minutes</t>
  </si>
  <si>
    <t>BR-012 cooling period fixture</t>
  </si>
  <si>
    <t>BEN-9950422</t>
  </si>
  <si>
    <t>Pending payee</t>
  </si>
  <si>
    <t>PENDING</t>
  </si>
  <si>
    <t>CUSTOMERS</t>
  </si>
  <si>
    <t>MockName</t>
  </si>
  <si>
    <t>Segment</t>
  </si>
  <si>
    <t>RegisteredMobile</t>
  </si>
  <si>
    <t>DailyLimitAED</t>
  </si>
  <si>
    <t>SingleLimitAED</t>
  </si>
  <si>
    <t>OtpThresholdAED</t>
  </si>
  <si>
    <t>Test Customer Alpha</t>
  </si>
  <si>
    <t>Retail</t>
  </si>
  <si>
    <t>+9715000000001</t>
  </si>
  <si>
    <t>Main regression customer</t>
  </si>
  <si>
    <t>Test Customer Bravo</t>
  </si>
  <si>
    <t>+9715000000002</t>
  </si>
  <si>
    <t>Overdraft and dormant fixtures</t>
  </si>
  <si>
    <t>Test Customer Charlie</t>
  </si>
  <si>
    <t>+9715000000003</t>
  </si>
  <si>
    <t>Frozen account fixture</t>
  </si>
  <si>
    <t>Test Customer Delta</t>
  </si>
  <si>
    <t>+9715000000004</t>
  </si>
  <si>
    <t>Higher-limit segment fixture</t>
  </si>
  <si>
    <t>Execution Summary - REG-2026-08-CYCLE-03 (formula driven, do not type values)</t>
  </si>
  <si>
    <t>Source: 'Test Cases' sheet, rows 2 to 45. Environment UAT2. Suite version 3.2.0.</t>
  </si>
  <si>
    <t>Metric</t>
  </si>
  <si>
    <t>Value</t>
  </si>
  <si>
    <t>Total test cases</t>
  </si>
  <si>
    <t>Passed</t>
  </si>
  <si>
    <t>Failed</t>
  </si>
  <si>
    <t>Blocked</t>
  </si>
  <si>
    <t>Not Run</t>
  </si>
  <si>
    <t>Manual</t>
  </si>
  <si>
    <t>Distinct defects raised</t>
  </si>
  <si>
    <t>Pass rate</t>
  </si>
  <si>
    <t>BY PRIORITY</t>
  </si>
  <si>
    <t>Total</t>
  </si>
  <si>
    <t>BY MODULE</t>
  </si>
  <si>
    <t>Requirement to Test Coverage - FTR-BRD-v3.2</t>
  </si>
  <si>
    <t>Counts are formulas over the 'Test Cases' sheet. Defect counts are maintained manually against KnownDefects.csv.</t>
  </si>
  <si>
    <t>Rule Summary</t>
  </si>
  <si>
    <t>TestCaseCount</t>
  </si>
  <si>
    <t>CoverageStatus</t>
  </si>
  <si>
    <t>OpenDefects</t>
  </si>
  <si>
    <t>Maximum single transfer is AED 50,000</t>
  </si>
  <si>
    <t>-</t>
  </si>
  <si>
    <t>Maximum daily transfer amount is AED 100,000</t>
  </si>
  <si>
    <t>Cannot transfer more than available balance</t>
  </si>
  <si>
    <t>Beneficiary status must be ACTIVE</t>
  </si>
  <si>
    <t>Transfers above AED 25,000 require OTP</t>
  </si>
  <si>
    <t>Amount must be greater than zero</t>
  </si>
  <si>
    <t>Source and destination cannot be identical</t>
  </si>
  <si>
    <t>Currency must be supported by the account</t>
  </si>
  <si>
    <t>Frozen accounts cannot initiate transfers</t>
  </si>
  <si>
    <t>Successful transfer generates a unique transaction ID</t>
  </si>
  <si>
    <t>Requests must be idempotent for 24 hours</t>
  </si>
  <si>
    <t>New beneficiary 30-minute cooling period</t>
  </si>
  <si>
    <t>Same-day cut-off at 21:00 GST</t>
  </si>
  <si>
    <t>Sanction screening at AED 20,000 and above</t>
  </si>
  <si>
    <t>Audit record for every transfer attempt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</si>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</sst>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color rgb="FF123A5E"/>
      <name val="Arial"/>
      <charset val="1"/>
    </font>
    <font>
      <b/>
      <sz val="10"/>
      <color rgb="FFFFFFFF"/>
      <name val="Arial"/>
      <charset val="1"/>
    </font>
    <font>
      <b/>
      <sz val="10"/>
      <color rgb="FF123A5E"/>
      <name val="Arial"/>
      <charset val="1"/>
    </font>
    <font>
      <b/>
      <sz val="12"/>
      <color rgb="FF123A5E"/>
      <name val="Arial"/>
      <charset val="1"/>
    </font>
    <font>
      <i/>
      <sz val="9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23A5E"/>
        <bgColor rgb="FF333333"/>
      </patternFill>
    </fill>
    <fill>
      <patternFill patternType="solid">
        <fgColor rgb="FFF1F5F8"/>
        <bgColor rgb="FFFFFFFF"/>
      </patternFill>
    </fill>
    <fill>
      <patternFill patternType="solid">
        <fgColor rgb="FFFFF6CC"/>
        <bgColor rgb="FFF1F5F8"/>
      </patternFill>
    </fill>
  </fills>
  <borders count="2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0" xfId="0" applyFont="1"/>
    <xf numFmtId="0" fontId="2" fillId="0" borderId="1" xfId="0" applyFont="1" applyBorder="1"/>
    <xf numFmtId="4" fontId="2" fillId="0" borderId="1" xfId="0" applyNumberFormat="1" applyFont="1" applyBorder="1"/>
    <xf numFmtId="0" fontId="2" fillId="0" borderId="0" xfId="0" applyFont="1"/>
    <xf numFmtId="4" fontId="2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164" fontId="8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CE"/>
      <rgbColor rgb="FF808080"/>
      <rgbColor rgb="FF9999FF"/>
      <rgbColor rgb="FF993366"/>
      <rgbColor rgb="FFFFF6CC"/>
      <rgbColor rgb="FFF1F5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A5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Normal="100" workbookViewId="0">
      <selection activeCell="A2" sqref="A1:XFD2"/>
    </sheetView>
  </sheetViews>
  <sheetFormatPr defaultColWidth="8.6640625" defaultRowHeight="14.4" x14ac:dyDescent="0.3"/>
  <cols>
    <col min="1" max="1" width="26" customWidth="1"/>
    <col min="2" max="2" width="110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2" t="s">
        <v>9</v>
      </c>
    </row>
    <row r="6" spans="1:2" x14ac:dyDescent="0.3">
      <c r="A6" s="1" t="s">
        <v>10</v>
      </c>
      <c r="B6" s="2" t="s">
        <v>11</v>
      </c>
    </row>
    <row r="7" spans="1:2" x14ac:dyDescent="0.3">
      <c r="A7" s="1" t="s">
        <v>12</v>
      </c>
      <c r="B7" s="2" t="s">
        <v>13</v>
      </c>
    </row>
    <row r="8" spans="1:2" x14ac:dyDescent="0.3">
      <c r="A8" s="1"/>
      <c r="B8" s="2"/>
    </row>
    <row r="9" spans="1:2" x14ac:dyDescent="0.3">
      <c r="A9" s="3" t="s">
        <v>14</v>
      </c>
      <c r="B9" s="2"/>
    </row>
    <row r="10" spans="1:2" x14ac:dyDescent="0.3">
      <c r="A10" s="1" t="s">
        <v>15</v>
      </c>
      <c r="B10" s="2" t="s">
        <v>16</v>
      </c>
    </row>
    <row r="11" spans="1:2" x14ac:dyDescent="0.3">
      <c r="A11" s="1" t="s">
        <v>17</v>
      </c>
      <c r="B11" s="2" t="s">
        <v>18</v>
      </c>
    </row>
    <row r="12" spans="1:2" x14ac:dyDescent="0.3">
      <c r="A12" s="1" t="s">
        <v>19</v>
      </c>
      <c r="B12" s="2" t="s">
        <v>20</v>
      </c>
    </row>
    <row r="13" spans="1:2" x14ac:dyDescent="0.3">
      <c r="A13" s="1" t="s">
        <v>21</v>
      </c>
      <c r="B13" s="2" t="s">
        <v>22</v>
      </c>
    </row>
    <row r="14" spans="1:2" x14ac:dyDescent="0.3">
      <c r="A14" s="1"/>
      <c r="B14" s="2"/>
    </row>
    <row r="15" spans="1:2" x14ac:dyDescent="0.3">
      <c r="A15" s="3" t="s">
        <v>23</v>
      </c>
      <c r="B15" s="2"/>
    </row>
    <row r="16" spans="1:2" x14ac:dyDescent="0.3">
      <c r="A16" s="1" t="s">
        <v>24</v>
      </c>
      <c r="B16" s="2" t="s">
        <v>25</v>
      </c>
    </row>
    <row r="17" spans="1:2" x14ac:dyDescent="0.3">
      <c r="A17" s="1" t="s">
        <v>26</v>
      </c>
      <c r="B17" s="2" t="s">
        <v>27</v>
      </c>
    </row>
    <row r="18" spans="1:2" x14ac:dyDescent="0.3">
      <c r="A18" s="1" t="s">
        <v>28</v>
      </c>
      <c r="B18" s="2" t="s">
        <v>29</v>
      </c>
    </row>
    <row r="19" spans="1:2" x14ac:dyDescent="0.3">
      <c r="A19" s="1" t="s">
        <v>30</v>
      </c>
      <c r="B19" s="2" t="s">
        <v>31</v>
      </c>
    </row>
    <row r="20" spans="1:2" x14ac:dyDescent="0.3">
      <c r="A20" s="1" t="s">
        <v>32</v>
      </c>
      <c r="B20" s="2" t="s">
        <v>33</v>
      </c>
    </row>
    <row r="21" spans="1:2" x14ac:dyDescent="0.3">
      <c r="A21" s="1"/>
      <c r="B21" s="2"/>
    </row>
    <row r="22" spans="1:2" x14ac:dyDescent="0.3">
      <c r="A22" s="1" t="s">
        <v>34</v>
      </c>
      <c r="B22" s="2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46" customWidth="1"/>
    <col min="3" max="3" width="13" customWidth="1"/>
    <col min="4" max="4" width="20" customWidth="1"/>
    <col min="5" max="5" width="12" customWidth="1"/>
    <col min="6" max="6" width="8" customWidth="1"/>
    <col min="7" max="7" width="40" customWidth="1"/>
    <col min="8" max="8" width="52" customWidth="1"/>
    <col min="9" max="9" width="34" customWidth="1"/>
    <col min="10" max="10" width="48" customWidth="1"/>
    <col min="11" max="11" width="40" customWidth="1"/>
    <col min="12" max="12" width="10" customWidth="1"/>
    <col min="13" max="13" width="13" customWidth="1"/>
    <col min="14" max="14" width="11" customWidth="1"/>
    <col min="15" max="15" width="12" customWidth="1"/>
    <col min="16" max="16" width="10" customWidth="1"/>
  </cols>
  <sheetData>
    <row r="1" spans="1:16" ht="26.4" x14ac:dyDescent="0.3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</row>
    <row r="2" spans="1:16" ht="22.8" x14ac:dyDescent="0.3">
      <c r="A2" s="5" t="s">
        <v>52</v>
      </c>
      <c r="B2" s="6" t="s">
        <v>53</v>
      </c>
      <c r="C2" s="5" t="s">
        <v>54</v>
      </c>
      <c r="D2" s="5" t="s">
        <v>55</v>
      </c>
      <c r="E2" s="5" t="s">
        <v>56</v>
      </c>
      <c r="F2" s="5" t="s">
        <v>57</v>
      </c>
      <c r="G2" s="6" t="s">
        <v>58</v>
      </c>
      <c r="H2" s="6" t="s">
        <v>59</v>
      </c>
      <c r="I2" s="6" t="s">
        <v>60</v>
      </c>
      <c r="J2" s="6" t="s">
        <v>61</v>
      </c>
      <c r="K2" s="7" t="s">
        <v>62</v>
      </c>
      <c r="L2" s="8" t="s">
        <v>63</v>
      </c>
      <c r="M2" s="8" t="s">
        <v>64</v>
      </c>
      <c r="N2" s="8" t="s">
        <v>65</v>
      </c>
      <c r="O2" s="8"/>
      <c r="P2" s="5" t="s">
        <v>66</v>
      </c>
    </row>
    <row r="3" spans="1:16" ht="22.8" x14ac:dyDescent="0.3">
      <c r="A3" s="9" t="s">
        <v>67</v>
      </c>
      <c r="B3" s="10" t="s">
        <v>68</v>
      </c>
      <c r="C3" s="9" t="s">
        <v>54</v>
      </c>
      <c r="D3" s="9" t="s">
        <v>55</v>
      </c>
      <c r="E3" s="9" t="s">
        <v>69</v>
      </c>
      <c r="F3" s="9" t="s">
        <v>57</v>
      </c>
      <c r="G3" s="10" t="s">
        <v>70</v>
      </c>
      <c r="H3" s="10" t="s">
        <v>71</v>
      </c>
      <c r="I3" s="10" t="s">
        <v>72</v>
      </c>
      <c r="J3" s="10" t="s">
        <v>73</v>
      </c>
      <c r="K3" s="7" t="s">
        <v>62</v>
      </c>
      <c r="L3" s="8" t="s">
        <v>63</v>
      </c>
      <c r="M3" s="8" t="s">
        <v>64</v>
      </c>
      <c r="N3" s="8" t="s">
        <v>65</v>
      </c>
      <c r="O3" s="8"/>
      <c r="P3" s="9" t="s">
        <v>66</v>
      </c>
    </row>
    <row r="4" spans="1:16" ht="22.8" x14ac:dyDescent="0.3">
      <c r="A4" s="5" t="s">
        <v>74</v>
      </c>
      <c r="B4" s="6" t="s">
        <v>75</v>
      </c>
      <c r="C4" s="5" t="s">
        <v>54</v>
      </c>
      <c r="D4" s="5" t="s">
        <v>55</v>
      </c>
      <c r="E4" s="5" t="s">
        <v>76</v>
      </c>
      <c r="F4" s="5" t="s">
        <v>77</v>
      </c>
      <c r="G4" s="6" t="s">
        <v>78</v>
      </c>
      <c r="H4" s="6" t="s">
        <v>79</v>
      </c>
      <c r="I4" s="6" t="s">
        <v>80</v>
      </c>
      <c r="J4" s="6" t="s">
        <v>81</v>
      </c>
      <c r="K4" s="7" t="s">
        <v>62</v>
      </c>
      <c r="L4" s="8" t="s">
        <v>63</v>
      </c>
      <c r="M4" s="8" t="s">
        <v>64</v>
      </c>
      <c r="N4" s="8" t="s">
        <v>82</v>
      </c>
      <c r="O4" s="8"/>
      <c r="P4" s="5" t="s">
        <v>66</v>
      </c>
    </row>
    <row r="5" spans="1:16" ht="22.8" x14ac:dyDescent="0.3">
      <c r="A5" s="9" t="s">
        <v>83</v>
      </c>
      <c r="B5" s="10" t="s">
        <v>84</v>
      </c>
      <c r="C5" s="9" t="s">
        <v>85</v>
      </c>
      <c r="D5" s="9" t="s">
        <v>86</v>
      </c>
      <c r="E5" s="9" t="s">
        <v>76</v>
      </c>
      <c r="F5" s="9" t="s">
        <v>57</v>
      </c>
      <c r="G5" s="10" t="s">
        <v>87</v>
      </c>
      <c r="H5" s="10" t="s">
        <v>88</v>
      </c>
      <c r="I5" s="10" t="s">
        <v>89</v>
      </c>
      <c r="J5" s="10" t="s">
        <v>90</v>
      </c>
      <c r="K5" s="7" t="s">
        <v>62</v>
      </c>
      <c r="L5" s="8" t="s">
        <v>63</v>
      </c>
      <c r="M5" s="8" t="s">
        <v>91</v>
      </c>
      <c r="N5" s="8" t="s">
        <v>65</v>
      </c>
      <c r="O5" s="8"/>
      <c r="P5" s="9" t="s">
        <v>66</v>
      </c>
    </row>
    <row r="6" spans="1:16" ht="22.8" x14ac:dyDescent="0.3">
      <c r="A6" s="5" t="s">
        <v>92</v>
      </c>
      <c r="B6" s="6" t="s">
        <v>93</v>
      </c>
      <c r="C6" s="5" t="s">
        <v>85</v>
      </c>
      <c r="D6" s="5" t="s">
        <v>86</v>
      </c>
      <c r="E6" s="5" t="s">
        <v>56</v>
      </c>
      <c r="F6" s="5" t="s">
        <v>57</v>
      </c>
      <c r="G6" s="6" t="s">
        <v>87</v>
      </c>
      <c r="H6" s="6" t="s">
        <v>94</v>
      </c>
      <c r="I6" s="6" t="s">
        <v>95</v>
      </c>
      <c r="J6" s="6" t="s">
        <v>96</v>
      </c>
      <c r="K6" s="7" t="s">
        <v>97</v>
      </c>
      <c r="L6" s="8" t="s">
        <v>98</v>
      </c>
      <c r="M6" s="8" t="s">
        <v>91</v>
      </c>
      <c r="N6" s="8" t="s">
        <v>65</v>
      </c>
      <c r="O6" s="8" t="s">
        <v>99</v>
      </c>
      <c r="P6" s="5" t="s">
        <v>66</v>
      </c>
    </row>
    <row r="7" spans="1:16" ht="22.8" x14ac:dyDescent="0.3">
      <c r="A7" s="9" t="s">
        <v>100</v>
      </c>
      <c r="B7" s="10" t="s">
        <v>101</v>
      </c>
      <c r="C7" s="9" t="s">
        <v>85</v>
      </c>
      <c r="D7" s="9" t="s">
        <v>86</v>
      </c>
      <c r="E7" s="9" t="s">
        <v>76</v>
      </c>
      <c r="F7" s="9" t="s">
        <v>57</v>
      </c>
      <c r="G7" s="10" t="s">
        <v>102</v>
      </c>
      <c r="H7" s="10" t="s">
        <v>103</v>
      </c>
      <c r="I7" s="10" t="s">
        <v>104</v>
      </c>
      <c r="J7" s="10" t="s">
        <v>105</v>
      </c>
      <c r="K7" s="7" t="s">
        <v>106</v>
      </c>
      <c r="L7" s="8" t="s">
        <v>63</v>
      </c>
      <c r="M7" s="8" t="s">
        <v>91</v>
      </c>
      <c r="N7" s="8" t="s">
        <v>82</v>
      </c>
      <c r="O7" s="8"/>
      <c r="P7" s="9" t="s">
        <v>66</v>
      </c>
    </row>
    <row r="8" spans="1:16" ht="22.8" x14ac:dyDescent="0.3">
      <c r="A8" s="5" t="s">
        <v>107</v>
      </c>
      <c r="B8" s="6" t="s">
        <v>108</v>
      </c>
      <c r="C8" s="5" t="s">
        <v>109</v>
      </c>
      <c r="D8" s="5" t="s">
        <v>55</v>
      </c>
      <c r="E8" s="5" t="s">
        <v>56</v>
      </c>
      <c r="F8" s="5" t="s">
        <v>57</v>
      </c>
      <c r="G8" s="6" t="s">
        <v>110</v>
      </c>
      <c r="H8" s="6" t="s">
        <v>111</v>
      </c>
      <c r="I8" s="6" t="s">
        <v>112</v>
      </c>
      <c r="J8" s="6" t="s">
        <v>113</v>
      </c>
      <c r="K8" s="7" t="s">
        <v>62</v>
      </c>
      <c r="L8" s="8" t="s">
        <v>63</v>
      </c>
      <c r="M8" s="8" t="s">
        <v>91</v>
      </c>
      <c r="N8" s="8" t="s">
        <v>114</v>
      </c>
      <c r="O8" s="8"/>
      <c r="P8" s="5" t="s">
        <v>66</v>
      </c>
    </row>
    <row r="9" spans="1:16" ht="22.8" x14ac:dyDescent="0.3">
      <c r="A9" s="9" t="s">
        <v>115</v>
      </c>
      <c r="B9" s="10" t="s">
        <v>116</v>
      </c>
      <c r="C9" s="9" t="s">
        <v>109</v>
      </c>
      <c r="D9" s="9" t="s">
        <v>55</v>
      </c>
      <c r="E9" s="9" t="s">
        <v>69</v>
      </c>
      <c r="F9" s="9" t="s">
        <v>57</v>
      </c>
      <c r="G9" s="10" t="s">
        <v>117</v>
      </c>
      <c r="H9" s="10" t="s">
        <v>118</v>
      </c>
      <c r="I9" s="10" t="s">
        <v>119</v>
      </c>
      <c r="J9" s="10" t="s">
        <v>120</v>
      </c>
      <c r="K9" s="7" t="s">
        <v>62</v>
      </c>
      <c r="L9" s="8" t="s">
        <v>63</v>
      </c>
      <c r="M9" s="8" t="s">
        <v>91</v>
      </c>
      <c r="N9" s="8" t="s">
        <v>114</v>
      </c>
      <c r="O9" s="8"/>
      <c r="P9" s="9" t="s">
        <v>66</v>
      </c>
    </row>
    <row r="10" spans="1:16" ht="22.8" x14ac:dyDescent="0.3">
      <c r="A10" s="5" t="s">
        <v>121</v>
      </c>
      <c r="B10" s="6" t="s">
        <v>122</v>
      </c>
      <c r="C10" s="5" t="s">
        <v>109</v>
      </c>
      <c r="D10" s="5" t="s">
        <v>55</v>
      </c>
      <c r="E10" s="5" t="s">
        <v>76</v>
      </c>
      <c r="F10" s="5" t="s">
        <v>77</v>
      </c>
      <c r="G10" s="6" t="s">
        <v>123</v>
      </c>
      <c r="H10" s="6" t="s">
        <v>124</v>
      </c>
      <c r="I10" s="6" t="s">
        <v>125</v>
      </c>
      <c r="J10" s="6" t="s">
        <v>126</v>
      </c>
      <c r="K10" s="7" t="s">
        <v>62</v>
      </c>
      <c r="L10" s="8" t="s">
        <v>63</v>
      </c>
      <c r="M10" s="8" t="s">
        <v>91</v>
      </c>
      <c r="N10" s="8" t="s">
        <v>114</v>
      </c>
      <c r="O10" s="8"/>
      <c r="P10" s="5" t="s">
        <v>66</v>
      </c>
    </row>
    <row r="11" spans="1:16" ht="22.8" x14ac:dyDescent="0.3">
      <c r="A11" s="9" t="s">
        <v>127</v>
      </c>
      <c r="B11" s="10" t="s">
        <v>128</v>
      </c>
      <c r="C11" s="9" t="s">
        <v>129</v>
      </c>
      <c r="D11" s="9" t="s">
        <v>130</v>
      </c>
      <c r="E11" s="9" t="s">
        <v>76</v>
      </c>
      <c r="F11" s="9" t="s">
        <v>57</v>
      </c>
      <c r="G11" s="10" t="s">
        <v>131</v>
      </c>
      <c r="H11" s="10" t="s">
        <v>132</v>
      </c>
      <c r="I11" s="10" t="s">
        <v>133</v>
      </c>
      <c r="J11" s="10" t="s">
        <v>134</v>
      </c>
      <c r="K11" s="7" t="s">
        <v>62</v>
      </c>
      <c r="L11" s="8" t="s">
        <v>63</v>
      </c>
      <c r="M11" s="8" t="s">
        <v>64</v>
      </c>
      <c r="N11" s="8" t="s">
        <v>65</v>
      </c>
      <c r="O11" s="8"/>
      <c r="P11" s="9" t="s">
        <v>66</v>
      </c>
    </row>
    <row r="12" spans="1:16" ht="22.8" x14ac:dyDescent="0.3">
      <c r="A12" s="5" t="s">
        <v>135</v>
      </c>
      <c r="B12" s="6" t="s">
        <v>136</v>
      </c>
      <c r="C12" s="5" t="s">
        <v>129</v>
      </c>
      <c r="D12" s="5" t="s">
        <v>130</v>
      </c>
      <c r="E12" s="5" t="s">
        <v>69</v>
      </c>
      <c r="F12" s="5" t="s">
        <v>57</v>
      </c>
      <c r="G12" s="6" t="s">
        <v>137</v>
      </c>
      <c r="H12" s="6" t="s">
        <v>138</v>
      </c>
      <c r="I12" s="6" t="s">
        <v>139</v>
      </c>
      <c r="J12" s="6" t="s">
        <v>140</v>
      </c>
      <c r="K12" s="7" t="s">
        <v>141</v>
      </c>
      <c r="L12" s="8" t="s">
        <v>63</v>
      </c>
      <c r="M12" s="8" t="s">
        <v>142</v>
      </c>
      <c r="N12" s="8" t="s">
        <v>65</v>
      </c>
      <c r="O12" s="8"/>
      <c r="P12" s="5" t="s">
        <v>66</v>
      </c>
    </row>
    <row r="13" spans="1:16" ht="22.8" x14ac:dyDescent="0.3">
      <c r="A13" s="9" t="s">
        <v>143</v>
      </c>
      <c r="B13" s="10" t="s">
        <v>144</v>
      </c>
      <c r="C13" s="9" t="s">
        <v>129</v>
      </c>
      <c r="D13" s="9" t="s">
        <v>130</v>
      </c>
      <c r="E13" s="9" t="s">
        <v>145</v>
      </c>
      <c r="F13" s="9" t="s">
        <v>57</v>
      </c>
      <c r="G13" s="10" t="s">
        <v>146</v>
      </c>
      <c r="H13" s="10" t="s">
        <v>147</v>
      </c>
      <c r="I13" s="10" t="s">
        <v>148</v>
      </c>
      <c r="J13" s="10" t="s">
        <v>149</v>
      </c>
      <c r="K13" s="7" t="s">
        <v>150</v>
      </c>
      <c r="L13" s="8" t="s">
        <v>98</v>
      </c>
      <c r="M13" s="8" t="s">
        <v>142</v>
      </c>
      <c r="N13" s="8" t="s">
        <v>65</v>
      </c>
      <c r="O13" s="8" t="s">
        <v>151</v>
      </c>
      <c r="P13" s="9" t="s">
        <v>66</v>
      </c>
    </row>
    <row r="14" spans="1:16" ht="22.8" x14ac:dyDescent="0.3">
      <c r="A14" s="5" t="s">
        <v>152</v>
      </c>
      <c r="B14" s="6" t="s">
        <v>153</v>
      </c>
      <c r="C14" s="5" t="s">
        <v>154</v>
      </c>
      <c r="D14" s="5" t="s">
        <v>155</v>
      </c>
      <c r="E14" s="5" t="s">
        <v>56</v>
      </c>
      <c r="F14" s="5" t="s">
        <v>57</v>
      </c>
      <c r="G14" s="6" t="s">
        <v>156</v>
      </c>
      <c r="H14" s="6" t="s">
        <v>157</v>
      </c>
      <c r="I14" s="6" t="s">
        <v>158</v>
      </c>
      <c r="J14" s="6" t="s">
        <v>159</v>
      </c>
      <c r="K14" s="7" t="s">
        <v>160</v>
      </c>
      <c r="L14" s="8" t="s">
        <v>63</v>
      </c>
      <c r="M14" s="8" t="s">
        <v>142</v>
      </c>
      <c r="N14" s="8" t="s">
        <v>82</v>
      </c>
      <c r="O14" s="8"/>
      <c r="P14" s="5" t="s">
        <v>66</v>
      </c>
    </row>
    <row r="15" spans="1:16" ht="22.8" x14ac:dyDescent="0.3">
      <c r="A15" s="9" t="s">
        <v>161</v>
      </c>
      <c r="B15" s="10" t="s">
        <v>162</v>
      </c>
      <c r="C15" s="9" t="s">
        <v>154</v>
      </c>
      <c r="D15" s="9" t="s">
        <v>155</v>
      </c>
      <c r="E15" s="9" t="s">
        <v>56</v>
      </c>
      <c r="F15" s="9" t="s">
        <v>57</v>
      </c>
      <c r="G15" s="10" t="s">
        <v>163</v>
      </c>
      <c r="H15" s="10" t="s">
        <v>164</v>
      </c>
      <c r="I15" s="10" t="s">
        <v>165</v>
      </c>
      <c r="J15" s="10" t="s">
        <v>166</v>
      </c>
      <c r="K15" s="7" t="s">
        <v>62</v>
      </c>
      <c r="L15" s="8" t="s">
        <v>63</v>
      </c>
      <c r="M15" s="8" t="s">
        <v>142</v>
      </c>
      <c r="N15" s="8" t="s">
        <v>82</v>
      </c>
      <c r="O15" s="8"/>
      <c r="P15" s="9" t="s">
        <v>66</v>
      </c>
    </row>
    <row r="16" spans="1:16" x14ac:dyDescent="0.3">
      <c r="A16" s="5" t="s">
        <v>167</v>
      </c>
      <c r="B16" s="6" t="s">
        <v>168</v>
      </c>
      <c r="C16" s="5" t="s">
        <v>154</v>
      </c>
      <c r="D16" s="5" t="s">
        <v>155</v>
      </c>
      <c r="E16" s="5" t="s">
        <v>69</v>
      </c>
      <c r="F16" s="5" t="s">
        <v>57</v>
      </c>
      <c r="G16" s="6" t="s">
        <v>169</v>
      </c>
      <c r="H16" s="6" t="s">
        <v>170</v>
      </c>
      <c r="I16" s="6" t="s">
        <v>171</v>
      </c>
      <c r="J16" s="6" t="s">
        <v>172</v>
      </c>
      <c r="K16" s="7" t="s">
        <v>62</v>
      </c>
      <c r="L16" s="8" t="s">
        <v>63</v>
      </c>
      <c r="M16" s="8" t="s">
        <v>142</v>
      </c>
      <c r="N16" s="8" t="s">
        <v>82</v>
      </c>
      <c r="O16" s="8"/>
      <c r="P16" s="5" t="s">
        <v>66</v>
      </c>
    </row>
    <row r="17" spans="1:16" ht="22.8" x14ac:dyDescent="0.3">
      <c r="A17" s="9" t="s">
        <v>173</v>
      </c>
      <c r="B17" s="10" t="s">
        <v>174</v>
      </c>
      <c r="C17" s="9" t="s">
        <v>154</v>
      </c>
      <c r="D17" s="9" t="s">
        <v>155</v>
      </c>
      <c r="E17" s="9" t="s">
        <v>69</v>
      </c>
      <c r="F17" s="9" t="s">
        <v>57</v>
      </c>
      <c r="G17" s="10" t="s">
        <v>169</v>
      </c>
      <c r="H17" s="10" t="s">
        <v>175</v>
      </c>
      <c r="I17" s="10" t="s">
        <v>176</v>
      </c>
      <c r="J17" s="10" t="s">
        <v>177</v>
      </c>
      <c r="K17" s="7" t="s">
        <v>178</v>
      </c>
      <c r="L17" s="8" t="s">
        <v>63</v>
      </c>
      <c r="M17" s="8" t="s">
        <v>142</v>
      </c>
      <c r="N17" s="8" t="s">
        <v>82</v>
      </c>
      <c r="O17" s="8"/>
      <c r="P17" s="9" t="s">
        <v>66</v>
      </c>
    </row>
    <row r="18" spans="1:16" ht="22.8" x14ac:dyDescent="0.3">
      <c r="A18" s="5" t="s">
        <v>179</v>
      </c>
      <c r="B18" s="6" t="s">
        <v>180</v>
      </c>
      <c r="C18" s="5" t="s">
        <v>181</v>
      </c>
      <c r="D18" s="5" t="s">
        <v>182</v>
      </c>
      <c r="E18" s="5" t="s">
        <v>69</v>
      </c>
      <c r="F18" s="5" t="s">
        <v>57</v>
      </c>
      <c r="G18" s="6" t="s">
        <v>183</v>
      </c>
      <c r="H18" s="6" t="s">
        <v>184</v>
      </c>
      <c r="I18" s="6" t="s">
        <v>185</v>
      </c>
      <c r="J18" s="6" t="s">
        <v>186</v>
      </c>
      <c r="K18" s="7" t="s">
        <v>62</v>
      </c>
      <c r="L18" s="8" t="s">
        <v>63</v>
      </c>
      <c r="M18" s="8" t="s">
        <v>64</v>
      </c>
      <c r="N18" s="8" t="s">
        <v>114</v>
      </c>
      <c r="O18" s="8"/>
      <c r="P18" s="5" t="s">
        <v>66</v>
      </c>
    </row>
    <row r="19" spans="1:16" x14ac:dyDescent="0.3">
      <c r="A19" s="9" t="s">
        <v>187</v>
      </c>
      <c r="B19" s="10" t="s">
        <v>188</v>
      </c>
      <c r="C19" s="9" t="s">
        <v>181</v>
      </c>
      <c r="D19" s="9" t="s">
        <v>182</v>
      </c>
      <c r="E19" s="9" t="s">
        <v>69</v>
      </c>
      <c r="F19" s="9" t="s">
        <v>57</v>
      </c>
      <c r="G19" s="10" t="s">
        <v>183</v>
      </c>
      <c r="H19" s="10" t="s">
        <v>189</v>
      </c>
      <c r="I19" s="10" t="s">
        <v>190</v>
      </c>
      <c r="J19" s="10" t="s">
        <v>191</v>
      </c>
      <c r="K19" s="7" t="s">
        <v>62</v>
      </c>
      <c r="L19" s="8" t="s">
        <v>63</v>
      </c>
      <c r="M19" s="8" t="s">
        <v>64</v>
      </c>
      <c r="N19" s="8" t="s">
        <v>114</v>
      </c>
      <c r="O19" s="8"/>
      <c r="P19" s="9" t="s">
        <v>66</v>
      </c>
    </row>
    <row r="20" spans="1:16" ht="22.8" x14ac:dyDescent="0.3">
      <c r="A20" s="5" t="s">
        <v>192</v>
      </c>
      <c r="B20" s="6" t="s">
        <v>193</v>
      </c>
      <c r="C20" s="5" t="s">
        <v>181</v>
      </c>
      <c r="D20" s="5" t="s">
        <v>182</v>
      </c>
      <c r="E20" s="5" t="s">
        <v>69</v>
      </c>
      <c r="F20" s="5" t="s">
        <v>77</v>
      </c>
      <c r="G20" s="6" t="s">
        <v>183</v>
      </c>
      <c r="H20" s="6" t="s">
        <v>194</v>
      </c>
      <c r="I20" s="6" t="s">
        <v>195</v>
      </c>
      <c r="J20" s="6" t="s">
        <v>196</v>
      </c>
      <c r="K20" s="7" t="s">
        <v>197</v>
      </c>
      <c r="L20" s="8" t="s">
        <v>98</v>
      </c>
      <c r="M20" s="8" t="s">
        <v>64</v>
      </c>
      <c r="N20" s="8" t="s">
        <v>114</v>
      </c>
      <c r="O20" s="8" t="s">
        <v>198</v>
      </c>
      <c r="P20" s="5" t="s">
        <v>66</v>
      </c>
    </row>
    <row r="21" spans="1:16" ht="22.8" x14ac:dyDescent="0.3">
      <c r="A21" s="9" t="s">
        <v>199</v>
      </c>
      <c r="B21" s="10" t="s">
        <v>200</v>
      </c>
      <c r="C21" s="9" t="s">
        <v>201</v>
      </c>
      <c r="D21" s="9" t="s">
        <v>55</v>
      </c>
      <c r="E21" s="9" t="s">
        <v>69</v>
      </c>
      <c r="F21" s="9" t="s">
        <v>57</v>
      </c>
      <c r="G21" s="10" t="s">
        <v>202</v>
      </c>
      <c r="H21" s="10" t="s">
        <v>203</v>
      </c>
      <c r="I21" s="10" t="s">
        <v>204</v>
      </c>
      <c r="J21" s="10" t="s">
        <v>205</v>
      </c>
      <c r="K21" s="7" t="s">
        <v>62</v>
      </c>
      <c r="L21" s="8" t="s">
        <v>63</v>
      </c>
      <c r="M21" s="8" t="s">
        <v>91</v>
      </c>
      <c r="N21" s="8" t="s">
        <v>65</v>
      </c>
      <c r="O21" s="8"/>
      <c r="P21" s="9" t="s">
        <v>66</v>
      </c>
    </row>
    <row r="22" spans="1:16" ht="22.8" x14ac:dyDescent="0.3">
      <c r="A22" s="5" t="s">
        <v>206</v>
      </c>
      <c r="B22" s="6" t="s">
        <v>207</v>
      </c>
      <c r="C22" s="5" t="s">
        <v>201</v>
      </c>
      <c r="D22" s="5" t="s">
        <v>55</v>
      </c>
      <c r="E22" s="5" t="s">
        <v>69</v>
      </c>
      <c r="F22" s="5" t="s">
        <v>77</v>
      </c>
      <c r="G22" s="6" t="s">
        <v>208</v>
      </c>
      <c r="H22" s="6" t="s">
        <v>209</v>
      </c>
      <c r="I22" s="6" t="s">
        <v>210</v>
      </c>
      <c r="J22" s="6" t="s">
        <v>211</v>
      </c>
      <c r="K22" s="7" t="s">
        <v>106</v>
      </c>
      <c r="L22" s="8" t="s">
        <v>63</v>
      </c>
      <c r="M22" s="8" t="s">
        <v>91</v>
      </c>
      <c r="N22" s="8" t="s">
        <v>65</v>
      </c>
      <c r="O22" s="8"/>
      <c r="P22" s="5" t="s">
        <v>66</v>
      </c>
    </row>
    <row r="23" spans="1:16" ht="22.8" x14ac:dyDescent="0.3">
      <c r="A23" s="9" t="s">
        <v>212</v>
      </c>
      <c r="B23" s="10" t="s">
        <v>213</v>
      </c>
      <c r="C23" s="9" t="s">
        <v>214</v>
      </c>
      <c r="D23" s="9" t="s">
        <v>55</v>
      </c>
      <c r="E23" s="9" t="s">
        <v>76</v>
      </c>
      <c r="F23" s="9" t="s">
        <v>57</v>
      </c>
      <c r="G23" s="10" t="s">
        <v>215</v>
      </c>
      <c r="H23" s="10" t="s">
        <v>216</v>
      </c>
      <c r="I23" s="10" t="s">
        <v>217</v>
      </c>
      <c r="J23" s="10" t="s">
        <v>134</v>
      </c>
      <c r="K23" s="7" t="s">
        <v>62</v>
      </c>
      <c r="L23" s="8" t="s">
        <v>63</v>
      </c>
      <c r="M23" s="8" t="s">
        <v>218</v>
      </c>
      <c r="N23" s="8" t="s">
        <v>82</v>
      </c>
      <c r="O23" s="8"/>
      <c r="P23" s="9" t="s">
        <v>66</v>
      </c>
    </row>
    <row r="24" spans="1:16" x14ac:dyDescent="0.3">
      <c r="A24" s="5" t="s">
        <v>219</v>
      </c>
      <c r="B24" s="6" t="s">
        <v>220</v>
      </c>
      <c r="C24" s="5" t="s">
        <v>214</v>
      </c>
      <c r="D24" s="5" t="s">
        <v>55</v>
      </c>
      <c r="E24" s="5" t="s">
        <v>69</v>
      </c>
      <c r="F24" s="5" t="s">
        <v>57</v>
      </c>
      <c r="G24" s="6" t="s">
        <v>221</v>
      </c>
      <c r="H24" s="6" t="s">
        <v>222</v>
      </c>
      <c r="I24" s="6" t="s">
        <v>223</v>
      </c>
      <c r="J24" s="6" t="s">
        <v>224</v>
      </c>
      <c r="K24" s="7" t="s">
        <v>62</v>
      </c>
      <c r="L24" s="8" t="s">
        <v>63</v>
      </c>
      <c r="M24" s="8" t="s">
        <v>218</v>
      </c>
      <c r="N24" s="8" t="s">
        <v>82</v>
      </c>
      <c r="O24" s="8"/>
      <c r="P24" s="5" t="s">
        <v>66</v>
      </c>
    </row>
    <row r="25" spans="1:16" ht="22.8" x14ac:dyDescent="0.3">
      <c r="A25" s="9" t="s">
        <v>225</v>
      </c>
      <c r="B25" s="10" t="s">
        <v>226</v>
      </c>
      <c r="C25" s="9" t="s">
        <v>227</v>
      </c>
      <c r="D25" s="9" t="s">
        <v>55</v>
      </c>
      <c r="E25" s="9" t="s">
        <v>69</v>
      </c>
      <c r="F25" s="9" t="s">
        <v>57</v>
      </c>
      <c r="G25" s="10" t="s">
        <v>228</v>
      </c>
      <c r="H25" s="10" t="s">
        <v>229</v>
      </c>
      <c r="I25" s="10" t="s">
        <v>230</v>
      </c>
      <c r="J25" s="10" t="s">
        <v>231</v>
      </c>
      <c r="K25" s="7" t="s">
        <v>62</v>
      </c>
      <c r="L25" s="8" t="s">
        <v>63</v>
      </c>
      <c r="M25" s="8" t="s">
        <v>218</v>
      </c>
      <c r="N25" s="8" t="s">
        <v>114</v>
      </c>
      <c r="O25" s="8"/>
      <c r="P25" s="9" t="s">
        <v>66</v>
      </c>
    </row>
    <row r="26" spans="1:16" ht="22.8" x14ac:dyDescent="0.3">
      <c r="A26" s="5" t="s">
        <v>232</v>
      </c>
      <c r="B26" s="6" t="s">
        <v>233</v>
      </c>
      <c r="C26" s="5" t="s">
        <v>227</v>
      </c>
      <c r="D26" s="5" t="s">
        <v>55</v>
      </c>
      <c r="E26" s="5" t="s">
        <v>69</v>
      </c>
      <c r="F26" s="5" t="s">
        <v>77</v>
      </c>
      <c r="G26" s="6" t="s">
        <v>234</v>
      </c>
      <c r="H26" s="6" t="s">
        <v>235</v>
      </c>
      <c r="I26" s="6" t="s">
        <v>236</v>
      </c>
      <c r="J26" s="6" t="s">
        <v>237</v>
      </c>
      <c r="K26" s="7" t="s">
        <v>62</v>
      </c>
      <c r="L26" s="8" t="s">
        <v>63</v>
      </c>
      <c r="M26" s="8" t="s">
        <v>218</v>
      </c>
      <c r="N26" s="8" t="s">
        <v>114</v>
      </c>
      <c r="O26" s="8"/>
      <c r="P26" s="5" t="s">
        <v>66</v>
      </c>
    </row>
    <row r="27" spans="1:16" ht="22.8" x14ac:dyDescent="0.3">
      <c r="A27" s="9" t="s">
        <v>238</v>
      </c>
      <c r="B27" s="10" t="s">
        <v>239</v>
      </c>
      <c r="C27" s="9" t="s">
        <v>240</v>
      </c>
      <c r="D27" s="9" t="s">
        <v>55</v>
      </c>
      <c r="E27" s="9" t="s">
        <v>76</v>
      </c>
      <c r="F27" s="9" t="s">
        <v>57</v>
      </c>
      <c r="G27" s="10" t="s">
        <v>241</v>
      </c>
      <c r="H27" s="10" t="s">
        <v>242</v>
      </c>
      <c r="I27" s="10" t="s">
        <v>243</v>
      </c>
      <c r="J27" s="10" t="s">
        <v>244</v>
      </c>
      <c r="K27" s="7" t="s">
        <v>62</v>
      </c>
      <c r="L27" s="8" t="s">
        <v>63</v>
      </c>
      <c r="M27" s="8" t="s">
        <v>64</v>
      </c>
      <c r="N27" s="8" t="s">
        <v>245</v>
      </c>
      <c r="O27" s="8"/>
      <c r="P27" s="9" t="s">
        <v>66</v>
      </c>
    </row>
    <row r="28" spans="1:16" ht="22.8" x14ac:dyDescent="0.3">
      <c r="A28" s="5" t="s">
        <v>246</v>
      </c>
      <c r="B28" s="6" t="s">
        <v>247</v>
      </c>
      <c r="C28" s="5" t="s">
        <v>240</v>
      </c>
      <c r="D28" s="5" t="s">
        <v>55</v>
      </c>
      <c r="E28" s="5" t="s">
        <v>76</v>
      </c>
      <c r="F28" s="5" t="s">
        <v>77</v>
      </c>
      <c r="G28" s="6" t="s">
        <v>248</v>
      </c>
      <c r="H28" s="6" t="s">
        <v>249</v>
      </c>
      <c r="I28" s="6" t="s">
        <v>250</v>
      </c>
      <c r="J28" s="6" t="s">
        <v>251</v>
      </c>
      <c r="K28" s="7" t="s">
        <v>62</v>
      </c>
      <c r="L28" s="8" t="s">
        <v>63</v>
      </c>
      <c r="M28" s="8" t="s">
        <v>64</v>
      </c>
      <c r="N28" s="8" t="s">
        <v>245</v>
      </c>
      <c r="O28" s="8"/>
      <c r="P28" s="5" t="s">
        <v>66</v>
      </c>
    </row>
    <row r="29" spans="1:16" ht="22.8" x14ac:dyDescent="0.3">
      <c r="A29" s="9" t="s">
        <v>252</v>
      </c>
      <c r="B29" s="10" t="s">
        <v>253</v>
      </c>
      <c r="C29" s="9" t="s">
        <v>254</v>
      </c>
      <c r="D29" s="9" t="s">
        <v>182</v>
      </c>
      <c r="E29" s="9" t="s">
        <v>76</v>
      </c>
      <c r="F29" s="9" t="s">
        <v>57</v>
      </c>
      <c r="G29" s="10" t="s">
        <v>255</v>
      </c>
      <c r="H29" s="10" t="s">
        <v>256</v>
      </c>
      <c r="I29" s="10" t="s">
        <v>257</v>
      </c>
      <c r="J29" s="10" t="s">
        <v>258</v>
      </c>
      <c r="K29" s="7" t="s">
        <v>62</v>
      </c>
      <c r="L29" s="8" t="s">
        <v>63</v>
      </c>
      <c r="M29" s="8" t="s">
        <v>218</v>
      </c>
      <c r="N29" s="8" t="s">
        <v>259</v>
      </c>
      <c r="O29" s="8"/>
      <c r="P29" s="9" t="s">
        <v>66</v>
      </c>
    </row>
    <row r="30" spans="1:16" ht="22.8" x14ac:dyDescent="0.3">
      <c r="A30" s="5" t="s">
        <v>260</v>
      </c>
      <c r="B30" s="6" t="s">
        <v>261</v>
      </c>
      <c r="C30" s="5" t="s">
        <v>262</v>
      </c>
      <c r="D30" s="5" t="s">
        <v>130</v>
      </c>
      <c r="E30" s="5" t="s">
        <v>56</v>
      </c>
      <c r="F30" s="5" t="s">
        <v>57</v>
      </c>
      <c r="G30" s="6" t="s">
        <v>263</v>
      </c>
      <c r="H30" s="6" t="s">
        <v>264</v>
      </c>
      <c r="I30" s="6" t="s">
        <v>265</v>
      </c>
      <c r="J30" s="6" t="s">
        <v>266</v>
      </c>
      <c r="K30" s="7" t="s">
        <v>62</v>
      </c>
      <c r="L30" s="8" t="s">
        <v>63</v>
      </c>
      <c r="M30" s="8" t="s">
        <v>267</v>
      </c>
      <c r="N30" s="8" t="s">
        <v>65</v>
      </c>
      <c r="O30" s="8"/>
      <c r="P30" s="5" t="s">
        <v>66</v>
      </c>
    </row>
    <row r="31" spans="1:16" ht="22.8" x14ac:dyDescent="0.3">
      <c r="A31" s="9" t="s">
        <v>268</v>
      </c>
      <c r="B31" s="10" t="s">
        <v>269</v>
      </c>
      <c r="C31" s="9" t="s">
        <v>270</v>
      </c>
      <c r="D31" s="9" t="s">
        <v>271</v>
      </c>
      <c r="E31" s="9" t="s">
        <v>76</v>
      </c>
      <c r="F31" s="9" t="s">
        <v>77</v>
      </c>
      <c r="G31" s="10" t="s">
        <v>272</v>
      </c>
      <c r="H31" s="10" t="s">
        <v>273</v>
      </c>
      <c r="I31" s="10" t="s">
        <v>274</v>
      </c>
      <c r="J31" s="10" t="s">
        <v>275</v>
      </c>
      <c r="K31" s="7" t="s">
        <v>62</v>
      </c>
      <c r="L31" s="8" t="s">
        <v>63</v>
      </c>
      <c r="M31" s="8" t="s">
        <v>267</v>
      </c>
      <c r="N31" s="8" t="s">
        <v>245</v>
      </c>
      <c r="O31" s="8"/>
      <c r="P31" s="9" t="s">
        <v>66</v>
      </c>
    </row>
    <row r="32" spans="1:16" ht="22.8" x14ac:dyDescent="0.3">
      <c r="A32" s="5" t="s">
        <v>276</v>
      </c>
      <c r="B32" s="6" t="s">
        <v>277</v>
      </c>
      <c r="C32" s="5" t="s">
        <v>85</v>
      </c>
      <c r="D32" s="5" t="s">
        <v>86</v>
      </c>
      <c r="E32" s="5" t="s">
        <v>278</v>
      </c>
      <c r="F32" s="5" t="s">
        <v>57</v>
      </c>
      <c r="G32" s="6" t="s">
        <v>279</v>
      </c>
      <c r="H32" s="6" t="s">
        <v>280</v>
      </c>
      <c r="I32" s="6" t="s">
        <v>281</v>
      </c>
      <c r="J32" s="6" t="s">
        <v>282</v>
      </c>
      <c r="K32" s="7" t="s">
        <v>141</v>
      </c>
      <c r="L32" s="8" t="s">
        <v>63</v>
      </c>
      <c r="M32" s="8" t="s">
        <v>91</v>
      </c>
      <c r="N32" s="8" t="s">
        <v>259</v>
      </c>
      <c r="O32" s="8"/>
      <c r="P32" s="5" t="s">
        <v>66</v>
      </c>
    </row>
    <row r="33" spans="1:16" ht="22.8" x14ac:dyDescent="0.3">
      <c r="A33" s="9" t="s">
        <v>283</v>
      </c>
      <c r="B33" s="10" t="s">
        <v>284</v>
      </c>
      <c r="C33" s="9" t="s">
        <v>109</v>
      </c>
      <c r="D33" s="9" t="s">
        <v>55</v>
      </c>
      <c r="E33" s="9" t="s">
        <v>285</v>
      </c>
      <c r="F33" s="9" t="s">
        <v>57</v>
      </c>
      <c r="G33" s="10" t="s">
        <v>286</v>
      </c>
      <c r="H33" s="10" t="s">
        <v>287</v>
      </c>
      <c r="I33" s="10" t="s">
        <v>288</v>
      </c>
      <c r="J33" s="10" t="s">
        <v>289</v>
      </c>
      <c r="K33" s="7" t="s">
        <v>290</v>
      </c>
      <c r="L33" s="8" t="s">
        <v>63</v>
      </c>
      <c r="M33" s="8" t="s">
        <v>218</v>
      </c>
      <c r="N33" s="8" t="s">
        <v>245</v>
      </c>
      <c r="O33" s="8"/>
      <c r="P33" s="9" t="s">
        <v>66</v>
      </c>
    </row>
    <row r="34" spans="1:16" ht="22.8" x14ac:dyDescent="0.3">
      <c r="A34" s="5" t="s">
        <v>291</v>
      </c>
      <c r="B34" s="6" t="s">
        <v>292</v>
      </c>
      <c r="C34" s="5" t="s">
        <v>154</v>
      </c>
      <c r="D34" s="5" t="s">
        <v>155</v>
      </c>
      <c r="E34" s="5" t="s">
        <v>145</v>
      </c>
      <c r="F34" s="5" t="s">
        <v>57</v>
      </c>
      <c r="G34" s="6" t="s">
        <v>293</v>
      </c>
      <c r="H34" s="6" t="s">
        <v>294</v>
      </c>
      <c r="I34" s="6" t="s">
        <v>295</v>
      </c>
      <c r="J34" s="6" t="s">
        <v>296</v>
      </c>
      <c r="K34" s="7" t="s">
        <v>297</v>
      </c>
      <c r="L34" s="8" t="s">
        <v>98</v>
      </c>
      <c r="M34" s="8" t="s">
        <v>267</v>
      </c>
      <c r="N34" s="8" t="s">
        <v>65</v>
      </c>
      <c r="O34" s="8" t="s">
        <v>298</v>
      </c>
      <c r="P34" s="5" t="s">
        <v>66</v>
      </c>
    </row>
    <row r="35" spans="1:16" x14ac:dyDescent="0.3">
      <c r="A35" s="9" t="s">
        <v>299</v>
      </c>
      <c r="B35" s="10" t="s">
        <v>300</v>
      </c>
      <c r="C35" s="9" t="s">
        <v>214</v>
      </c>
      <c r="D35" s="9" t="s">
        <v>55</v>
      </c>
      <c r="E35" s="9" t="s">
        <v>278</v>
      </c>
      <c r="F35" s="9" t="s">
        <v>301</v>
      </c>
      <c r="G35" s="10" t="s">
        <v>302</v>
      </c>
      <c r="H35" s="10" t="s">
        <v>303</v>
      </c>
      <c r="I35" s="10" t="s">
        <v>304</v>
      </c>
      <c r="J35" s="10" t="s">
        <v>305</v>
      </c>
      <c r="K35" s="7" t="s">
        <v>178</v>
      </c>
      <c r="L35" s="8" t="s">
        <v>63</v>
      </c>
      <c r="M35" s="8" t="s">
        <v>218</v>
      </c>
      <c r="N35" s="8" t="s">
        <v>82</v>
      </c>
      <c r="O35" s="8"/>
      <c r="P35" s="9" t="s">
        <v>66</v>
      </c>
    </row>
    <row r="36" spans="1:16" ht="22.8" x14ac:dyDescent="0.3">
      <c r="A36" s="5" t="s">
        <v>306</v>
      </c>
      <c r="B36" s="6" t="s">
        <v>307</v>
      </c>
      <c r="C36" s="5" t="s">
        <v>227</v>
      </c>
      <c r="D36" s="5" t="s">
        <v>55</v>
      </c>
      <c r="E36" s="5" t="s">
        <v>278</v>
      </c>
      <c r="F36" s="5" t="s">
        <v>57</v>
      </c>
      <c r="G36" s="6" t="s">
        <v>308</v>
      </c>
      <c r="H36" s="6" t="s">
        <v>309</v>
      </c>
      <c r="I36" s="6" t="s">
        <v>310</v>
      </c>
      <c r="J36" s="6" t="s">
        <v>311</v>
      </c>
      <c r="K36" s="7" t="s">
        <v>178</v>
      </c>
      <c r="L36" s="8" t="s">
        <v>63</v>
      </c>
      <c r="M36" s="8" t="s">
        <v>267</v>
      </c>
      <c r="N36" s="8" t="s">
        <v>114</v>
      </c>
      <c r="O36" s="8"/>
      <c r="P36" s="5" t="s">
        <v>66</v>
      </c>
    </row>
    <row r="37" spans="1:16" ht="22.8" x14ac:dyDescent="0.3">
      <c r="A37" s="9" t="s">
        <v>312</v>
      </c>
      <c r="B37" s="10" t="s">
        <v>313</v>
      </c>
      <c r="C37" s="9" t="s">
        <v>240</v>
      </c>
      <c r="D37" s="9" t="s">
        <v>55</v>
      </c>
      <c r="E37" s="9" t="s">
        <v>314</v>
      </c>
      <c r="F37" s="9" t="s">
        <v>57</v>
      </c>
      <c r="G37" s="10" t="s">
        <v>315</v>
      </c>
      <c r="H37" s="10" t="s">
        <v>316</v>
      </c>
      <c r="I37" s="10" t="s">
        <v>317</v>
      </c>
      <c r="J37" s="10" t="s">
        <v>318</v>
      </c>
      <c r="K37" s="7" t="s">
        <v>106</v>
      </c>
      <c r="L37" s="8" t="s">
        <v>63</v>
      </c>
      <c r="M37" s="8" t="s">
        <v>267</v>
      </c>
      <c r="N37" s="8" t="s">
        <v>245</v>
      </c>
      <c r="O37" s="8"/>
      <c r="P37" s="9" t="s">
        <v>66</v>
      </c>
    </row>
    <row r="38" spans="1:16" ht="22.8" x14ac:dyDescent="0.3">
      <c r="A38" s="5" t="s">
        <v>319</v>
      </c>
      <c r="B38" s="6" t="s">
        <v>320</v>
      </c>
      <c r="C38" s="5" t="s">
        <v>254</v>
      </c>
      <c r="D38" s="5" t="s">
        <v>182</v>
      </c>
      <c r="E38" s="5" t="s">
        <v>69</v>
      </c>
      <c r="F38" s="5" t="s">
        <v>57</v>
      </c>
      <c r="G38" s="6" t="s">
        <v>321</v>
      </c>
      <c r="H38" s="6" t="s">
        <v>322</v>
      </c>
      <c r="I38" s="6" t="s">
        <v>323</v>
      </c>
      <c r="J38" s="6" t="s">
        <v>324</v>
      </c>
      <c r="K38" s="7" t="s">
        <v>325</v>
      </c>
      <c r="L38" s="8" t="s">
        <v>98</v>
      </c>
      <c r="M38" s="8" t="s">
        <v>218</v>
      </c>
      <c r="N38" s="8" t="s">
        <v>259</v>
      </c>
      <c r="O38" s="8" t="s">
        <v>326</v>
      </c>
      <c r="P38" s="5" t="s">
        <v>66</v>
      </c>
    </row>
    <row r="39" spans="1:16" x14ac:dyDescent="0.3">
      <c r="A39" s="9" t="s">
        <v>327</v>
      </c>
      <c r="B39" s="10" t="s">
        <v>328</v>
      </c>
      <c r="C39" s="9" t="s">
        <v>254</v>
      </c>
      <c r="D39" s="9" t="s">
        <v>182</v>
      </c>
      <c r="E39" s="9" t="s">
        <v>76</v>
      </c>
      <c r="F39" s="9" t="s">
        <v>77</v>
      </c>
      <c r="G39" s="10" t="s">
        <v>329</v>
      </c>
      <c r="H39" s="10" t="s">
        <v>330</v>
      </c>
      <c r="I39" s="10" t="s">
        <v>331</v>
      </c>
      <c r="J39" s="10" t="s">
        <v>332</v>
      </c>
      <c r="K39" s="7" t="s">
        <v>62</v>
      </c>
      <c r="L39" s="8" t="s">
        <v>63</v>
      </c>
      <c r="M39" s="8" t="s">
        <v>218</v>
      </c>
      <c r="N39" s="8" t="s">
        <v>259</v>
      </c>
      <c r="O39" s="8"/>
      <c r="P39" s="9" t="s">
        <v>66</v>
      </c>
    </row>
    <row r="40" spans="1:16" ht="22.8" x14ac:dyDescent="0.3">
      <c r="A40" s="5" t="s">
        <v>333</v>
      </c>
      <c r="B40" s="6" t="s">
        <v>334</v>
      </c>
      <c r="C40" s="5" t="s">
        <v>262</v>
      </c>
      <c r="D40" s="5" t="s">
        <v>130</v>
      </c>
      <c r="E40" s="5" t="s">
        <v>278</v>
      </c>
      <c r="F40" s="5" t="s">
        <v>57</v>
      </c>
      <c r="G40" s="6" t="s">
        <v>335</v>
      </c>
      <c r="H40" s="6" t="s">
        <v>336</v>
      </c>
      <c r="I40" s="6" t="s">
        <v>337</v>
      </c>
      <c r="J40" s="6" t="s">
        <v>338</v>
      </c>
      <c r="K40" s="7" t="s">
        <v>339</v>
      </c>
      <c r="L40" s="8" t="s">
        <v>98</v>
      </c>
      <c r="M40" s="8" t="s">
        <v>267</v>
      </c>
      <c r="N40" s="8" t="s">
        <v>65</v>
      </c>
      <c r="O40" s="8" t="s">
        <v>340</v>
      </c>
      <c r="P40" s="5" t="s">
        <v>66</v>
      </c>
    </row>
    <row r="41" spans="1:16" ht="22.8" x14ac:dyDescent="0.3">
      <c r="A41" s="9" t="s">
        <v>341</v>
      </c>
      <c r="B41" s="10" t="s">
        <v>342</v>
      </c>
      <c r="C41" s="9" t="s">
        <v>270</v>
      </c>
      <c r="D41" s="9" t="s">
        <v>271</v>
      </c>
      <c r="E41" s="9" t="s">
        <v>76</v>
      </c>
      <c r="F41" s="9" t="s">
        <v>77</v>
      </c>
      <c r="G41" s="10" t="s">
        <v>343</v>
      </c>
      <c r="H41" s="10" t="s">
        <v>344</v>
      </c>
      <c r="I41" s="10" t="s">
        <v>345</v>
      </c>
      <c r="J41" s="10" t="s">
        <v>346</v>
      </c>
      <c r="K41" s="7" t="s">
        <v>347</v>
      </c>
      <c r="L41" s="8" t="s">
        <v>98</v>
      </c>
      <c r="M41" s="8" t="s">
        <v>267</v>
      </c>
      <c r="N41" s="8" t="s">
        <v>245</v>
      </c>
      <c r="O41" s="8" t="s">
        <v>348</v>
      </c>
      <c r="P41" s="9" t="s">
        <v>66</v>
      </c>
    </row>
    <row r="42" spans="1:16" ht="22.8" x14ac:dyDescent="0.3">
      <c r="A42" s="5" t="s">
        <v>349</v>
      </c>
      <c r="B42" s="6" t="s">
        <v>350</v>
      </c>
      <c r="C42" s="5" t="s">
        <v>351</v>
      </c>
      <c r="D42" s="5" t="s">
        <v>352</v>
      </c>
      <c r="E42" s="5" t="s">
        <v>76</v>
      </c>
      <c r="F42" s="5" t="s">
        <v>57</v>
      </c>
      <c r="G42" s="6" t="s">
        <v>353</v>
      </c>
      <c r="H42" s="6" t="s">
        <v>354</v>
      </c>
      <c r="I42" s="6" t="s">
        <v>355</v>
      </c>
      <c r="J42" s="6" t="s">
        <v>356</v>
      </c>
      <c r="K42" s="7" t="s">
        <v>357</v>
      </c>
      <c r="L42" s="8" t="s">
        <v>98</v>
      </c>
      <c r="M42" s="8" t="s">
        <v>142</v>
      </c>
      <c r="N42" s="8" t="s">
        <v>358</v>
      </c>
      <c r="O42" s="8" t="s">
        <v>359</v>
      </c>
      <c r="P42" s="5" t="s">
        <v>66</v>
      </c>
    </row>
    <row r="43" spans="1:16" ht="22.8" x14ac:dyDescent="0.3">
      <c r="A43" s="9" t="s">
        <v>360</v>
      </c>
      <c r="B43" s="10" t="s">
        <v>361</v>
      </c>
      <c r="C43" s="9" t="s">
        <v>351</v>
      </c>
      <c r="D43" s="9" t="s">
        <v>352</v>
      </c>
      <c r="E43" s="9" t="s">
        <v>69</v>
      </c>
      <c r="F43" s="9" t="s">
        <v>57</v>
      </c>
      <c r="G43" s="10" t="s">
        <v>362</v>
      </c>
      <c r="H43" s="10" t="s">
        <v>363</v>
      </c>
      <c r="I43" s="10" t="s">
        <v>364</v>
      </c>
      <c r="J43" s="10" t="s">
        <v>365</v>
      </c>
      <c r="K43" s="7" t="s">
        <v>160</v>
      </c>
      <c r="L43" s="8" t="s">
        <v>63</v>
      </c>
      <c r="M43" s="8" t="s">
        <v>142</v>
      </c>
      <c r="N43" s="8" t="s">
        <v>358</v>
      </c>
      <c r="O43" s="8"/>
      <c r="P43" s="9" t="s">
        <v>66</v>
      </c>
    </row>
    <row r="44" spans="1:16" ht="22.8" x14ac:dyDescent="0.3">
      <c r="A44" s="5" t="s">
        <v>366</v>
      </c>
      <c r="B44" s="6" t="s">
        <v>367</v>
      </c>
      <c r="C44" s="5" t="s">
        <v>368</v>
      </c>
      <c r="D44" s="5" t="s">
        <v>369</v>
      </c>
      <c r="E44" s="5" t="s">
        <v>76</v>
      </c>
      <c r="F44" s="5" t="s">
        <v>57</v>
      </c>
      <c r="G44" s="6" t="s">
        <v>370</v>
      </c>
      <c r="H44" s="6" t="s">
        <v>371</v>
      </c>
      <c r="I44" s="6" t="s">
        <v>372</v>
      </c>
      <c r="J44" s="6" t="s">
        <v>373</v>
      </c>
      <c r="K44" s="7" t="s">
        <v>374</v>
      </c>
      <c r="L44" s="8" t="s">
        <v>98</v>
      </c>
      <c r="M44" s="8" t="s">
        <v>267</v>
      </c>
      <c r="N44" s="8" t="s">
        <v>375</v>
      </c>
      <c r="O44" s="8" t="s">
        <v>376</v>
      </c>
      <c r="P44" s="5" t="s">
        <v>377</v>
      </c>
    </row>
    <row r="45" spans="1:16" ht="22.8" x14ac:dyDescent="0.3">
      <c r="A45" s="9" t="s">
        <v>378</v>
      </c>
      <c r="B45" s="10" t="s">
        <v>379</v>
      </c>
      <c r="C45" s="9" t="s">
        <v>368</v>
      </c>
      <c r="D45" s="9" t="s">
        <v>369</v>
      </c>
      <c r="E45" s="9" t="s">
        <v>145</v>
      </c>
      <c r="F45" s="9" t="s">
        <v>57</v>
      </c>
      <c r="G45" s="10" t="s">
        <v>380</v>
      </c>
      <c r="H45" s="10" t="s">
        <v>381</v>
      </c>
      <c r="I45" s="10" t="s">
        <v>382</v>
      </c>
      <c r="J45" s="10" t="s">
        <v>383</v>
      </c>
      <c r="K45" s="7" t="s">
        <v>62</v>
      </c>
      <c r="L45" s="8" t="s">
        <v>63</v>
      </c>
      <c r="M45" s="8" t="s">
        <v>267</v>
      </c>
      <c r="N45" s="8" t="s">
        <v>375</v>
      </c>
      <c r="O45" s="8"/>
      <c r="P45" s="9" t="s">
        <v>377</v>
      </c>
    </row>
  </sheetData>
  <autoFilter ref="A1:P45" xr:uid="{00000000-0009-0000-0000-000001000000}"/>
  <dataValidations count="1">
    <dataValidation type="list" sqref="L2:L45" xr:uid="{00000000-0002-0000-0100-000000000000}">
      <formula1>"Pass,Fail,Blocked,Not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26" customWidth="1"/>
    <col min="3" max="3" width="16" customWidth="1"/>
    <col min="4" max="4" width="26" customWidth="1"/>
    <col min="5" max="5" width="12" customWidth="1"/>
    <col min="6" max="6" width="18" customWidth="1"/>
    <col min="7" max="8" width="12" customWidth="1"/>
    <col min="9" max="9" width="30" customWidth="1"/>
    <col min="10" max="10" width="34" customWidth="1"/>
  </cols>
  <sheetData>
    <row r="1" spans="1:10" x14ac:dyDescent="0.3">
      <c r="A1" s="3" t="s">
        <v>384</v>
      </c>
    </row>
    <row r="3" spans="1:10" x14ac:dyDescent="0.3">
      <c r="A3" s="11" t="s">
        <v>385</v>
      </c>
    </row>
    <row r="4" spans="1:10" ht="26.4" x14ac:dyDescent="0.3">
      <c r="A4" s="4" t="s">
        <v>386</v>
      </c>
      <c r="B4" s="4" t="s">
        <v>387</v>
      </c>
      <c r="C4" s="4" t="s">
        <v>388</v>
      </c>
      <c r="D4" s="4" t="s">
        <v>389</v>
      </c>
      <c r="E4" s="4" t="s">
        <v>47</v>
      </c>
      <c r="F4" s="4" t="s">
        <v>390</v>
      </c>
      <c r="G4" s="4" t="s">
        <v>391</v>
      </c>
      <c r="H4" s="4" t="s">
        <v>392</v>
      </c>
      <c r="I4" s="4" t="s">
        <v>393</v>
      </c>
      <c r="J4" s="4" t="s">
        <v>394</v>
      </c>
    </row>
    <row r="5" spans="1:10" x14ac:dyDescent="0.3">
      <c r="A5" s="12" t="s">
        <v>395</v>
      </c>
      <c r="B5" s="12" t="s">
        <v>396</v>
      </c>
      <c r="C5" s="12" t="s">
        <v>397</v>
      </c>
      <c r="D5" s="12" t="s">
        <v>398</v>
      </c>
      <c r="E5" s="12" t="s">
        <v>399</v>
      </c>
      <c r="F5" s="13">
        <v>120000</v>
      </c>
      <c r="G5" s="13">
        <v>0</v>
      </c>
      <c r="H5" s="13">
        <v>0</v>
      </c>
      <c r="I5" s="12" t="s">
        <v>400</v>
      </c>
      <c r="J5" s="12" t="s">
        <v>401</v>
      </c>
    </row>
    <row r="6" spans="1:10" x14ac:dyDescent="0.3">
      <c r="A6" s="12" t="s">
        <v>402</v>
      </c>
      <c r="B6" s="12" t="s">
        <v>403</v>
      </c>
      <c r="C6" s="12" t="s">
        <v>397</v>
      </c>
      <c r="D6" s="12" t="s">
        <v>404</v>
      </c>
      <c r="E6" s="12" t="s">
        <v>399</v>
      </c>
      <c r="F6" s="13">
        <v>10000</v>
      </c>
      <c r="G6" s="13">
        <v>0</v>
      </c>
      <c r="H6" s="13">
        <v>0</v>
      </c>
      <c r="I6" s="12" t="s">
        <v>400</v>
      </c>
      <c r="J6" s="12" t="s">
        <v>405</v>
      </c>
    </row>
    <row r="7" spans="1:10" x14ac:dyDescent="0.3">
      <c r="A7" s="12" t="s">
        <v>406</v>
      </c>
      <c r="B7" s="12" t="s">
        <v>407</v>
      </c>
      <c r="C7" s="12" t="s">
        <v>408</v>
      </c>
      <c r="D7" s="12" t="s">
        <v>398</v>
      </c>
      <c r="E7" s="12" t="s">
        <v>409</v>
      </c>
      <c r="F7" s="13">
        <v>8500</v>
      </c>
      <c r="G7" s="13">
        <v>0</v>
      </c>
      <c r="H7" s="13">
        <v>0</v>
      </c>
      <c r="I7" s="12" t="s">
        <v>400</v>
      </c>
      <c r="J7" s="12" t="s">
        <v>410</v>
      </c>
    </row>
    <row r="8" spans="1:10" x14ac:dyDescent="0.3">
      <c r="A8" s="12" t="s">
        <v>411</v>
      </c>
      <c r="B8" s="12" t="s">
        <v>412</v>
      </c>
      <c r="C8" s="12" t="s">
        <v>397</v>
      </c>
      <c r="D8" s="12" t="s">
        <v>413</v>
      </c>
      <c r="E8" s="12" t="s">
        <v>399</v>
      </c>
      <c r="F8" s="13">
        <v>55000</v>
      </c>
      <c r="G8" s="13">
        <v>0</v>
      </c>
      <c r="H8" s="13">
        <v>0</v>
      </c>
      <c r="I8" s="12" t="s">
        <v>414</v>
      </c>
      <c r="J8" s="12" t="s">
        <v>415</v>
      </c>
    </row>
    <row r="9" spans="1:10" x14ac:dyDescent="0.3">
      <c r="A9" s="12" t="s">
        <v>416</v>
      </c>
      <c r="B9" s="12" t="s">
        <v>417</v>
      </c>
      <c r="C9" s="12" t="s">
        <v>418</v>
      </c>
      <c r="D9" s="12" t="s">
        <v>398</v>
      </c>
      <c r="E9" s="12" t="s">
        <v>419</v>
      </c>
      <c r="F9" s="13">
        <v>30000</v>
      </c>
      <c r="G9" s="13">
        <v>0</v>
      </c>
      <c r="H9" s="13">
        <v>0</v>
      </c>
      <c r="I9" s="12" t="s">
        <v>400</v>
      </c>
      <c r="J9" s="12" t="s">
        <v>420</v>
      </c>
    </row>
    <row r="10" spans="1:10" x14ac:dyDescent="0.3">
      <c r="A10" s="12" t="s">
        <v>421</v>
      </c>
      <c r="B10" s="12" t="s">
        <v>422</v>
      </c>
      <c r="C10" s="12" t="s">
        <v>408</v>
      </c>
      <c r="D10" s="12" t="s">
        <v>398</v>
      </c>
      <c r="E10" s="12" t="s">
        <v>399</v>
      </c>
      <c r="F10" s="13">
        <v>1000</v>
      </c>
      <c r="G10" s="13">
        <v>0</v>
      </c>
      <c r="H10" s="13">
        <v>5000</v>
      </c>
      <c r="I10" s="12" t="s">
        <v>400</v>
      </c>
      <c r="J10" s="12" t="s">
        <v>423</v>
      </c>
    </row>
    <row r="11" spans="1:10" x14ac:dyDescent="0.3">
      <c r="A11" s="12" t="s">
        <v>424</v>
      </c>
      <c r="B11" s="12" t="s">
        <v>425</v>
      </c>
      <c r="C11" s="12" t="s">
        <v>426</v>
      </c>
      <c r="D11" s="12" t="s">
        <v>398</v>
      </c>
      <c r="E11" s="12" t="s">
        <v>399</v>
      </c>
      <c r="F11" s="13">
        <v>250000</v>
      </c>
      <c r="G11" s="13">
        <v>12000</v>
      </c>
      <c r="H11" s="13">
        <v>0</v>
      </c>
      <c r="I11" s="12" t="s">
        <v>427</v>
      </c>
      <c r="J11" s="12" t="s">
        <v>428</v>
      </c>
    </row>
    <row r="13" spans="1:10" x14ac:dyDescent="0.3">
      <c r="A13" s="11" t="s">
        <v>429</v>
      </c>
    </row>
    <row r="14" spans="1:10" x14ac:dyDescent="0.3">
      <c r="A14" s="1" t="s">
        <v>386</v>
      </c>
      <c r="B14" s="1" t="s">
        <v>430</v>
      </c>
    </row>
    <row r="15" spans="1:10" x14ac:dyDescent="0.3">
      <c r="A15" s="14" t="s">
        <v>395</v>
      </c>
      <c r="B15" s="15">
        <f t="shared" ref="B15:B21" si="0">F5-G5+H5</f>
        <v>120000</v>
      </c>
    </row>
    <row r="16" spans="1:10" x14ac:dyDescent="0.3">
      <c r="A16" s="14" t="s">
        <v>402</v>
      </c>
      <c r="B16" s="15">
        <f t="shared" si="0"/>
        <v>10000</v>
      </c>
    </row>
    <row r="17" spans="1:10" x14ac:dyDescent="0.3">
      <c r="A17" s="14" t="s">
        <v>406</v>
      </c>
      <c r="B17" s="15">
        <f t="shared" si="0"/>
        <v>8500</v>
      </c>
    </row>
    <row r="18" spans="1:10" x14ac:dyDescent="0.3">
      <c r="A18" s="14" t="s">
        <v>411</v>
      </c>
      <c r="B18" s="15">
        <f t="shared" si="0"/>
        <v>55000</v>
      </c>
    </row>
    <row r="19" spans="1:10" x14ac:dyDescent="0.3">
      <c r="A19" s="14" t="s">
        <v>416</v>
      </c>
      <c r="B19" s="15">
        <f t="shared" si="0"/>
        <v>30000</v>
      </c>
    </row>
    <row r="20" spans="1:10" x14ac:dyDescent="0.3">
      <c r="A20" s="14" t="s">
        <v>421</v>
      </c>
      <c r="B20" s="15">
        <f t="shared" si="0"/>
        <v>6000</v>
      </c>
    </row>
    <row r="21" spans="1:10" x14ac:dyDescent="0.3">
      <c r="A21" s="14" t="s">
        <v>424</v>
      </c>
      <c r="B21" s="15">
        <f t="shared" si="0"/>
        <v>238000</v>
      </c>
    </row>
    <row r="24" spans="1:10" x14ac:dyDescent="0.3">
      <c r="A24" s="11" t="s">
        <v>431</v>
      </c>
    </row>
    <row r="25" spans="1:10" ht="26.4" x14ac:dyDescent="0.3">
      <c r="A25" s="4" t="s">
        <v>432</v>
      </c>
      <c r="B25" s="4" t="s">
        <v>433</v>
      </c>
      <c r="C25" s="4" t="s">
        <v>434</v>
      </c>
      <c r="D25" s="4" t="s">
        <v>387</v>
      </c>
      <c r="E25" s="4" t="s">
        <v>435</v>
      </c>
      <c r="F25" s="4" t="s">
        <v>436</v>
      </c>
      <c r="G25" s="4" t="s">
        <v>437</v>
      </c>
      <c r="H25" s="4" t="s">
        <v>47</v>
      </c>
      <c r="I25" s="4" t="s">
        <v>438</v>
      </c>
      <c r="J25" s="4" t="s">
        <v>394</v>
      </c>
    </row>
    <row r="26" spans="1:10" x14ac:dyDescent="0.3">
      <c r="A26" s="12" t="s">
        <v>439</v>
      </c>
      <c r="B26" s="12" t="s">
        <v>440</v>
      </c>
      <c r="C26" s="12" t="s">
        <v>397</v>
      </c>
      <c r="D26" s="12" t="s">
        <v>403</v>
      </c>
      <c r="E26" s="12" t="s">
        <v>441</v>
      </c>
      <c r="F26" s="12" t="s">
        <v>442</v>
      </c>
      <c r="G26" s="12" t="s">
        <v>400</v>
      </c>
      <c r="H26" s="12" t="s">
        <v>399</v>
      </c>
      <c r="I26" s="12" t="s">
        <v>443</v>
      </c>
      <c r="J26" s="12" t="s">
        <v>444</v>
      </c>
    </row>
    <row r="27" spans="1:10" x14ac:dyDescent="0.3">
      <c r="A27" s="12" t="s">
        <v>445</v>
      </c>
      <c r="B27" s="12" t="s">
        <v>446</v>
      </c>
      <c r="C27" s="12" t="s">
        <v>397</v>
      </c>
      <c r="D27" s="12" t="s">
        <v>447</v>
      </c>
      <c r="E27" s="12" t="s">
        <v>448</v>
      </c>
      <c r="F27" s="12" t="s">
        <v>449</v>
      </c>
      <c r="G27" s="12" t="s">
        <v>450</v>
      </c>
      <c r="H27" s="12" t="s">
        <v>399</v>
      </c>
      <c r="I27" s="12" t="s">
        <v>451</v>
      </c>
      <c r="J27" s="12" t="s">
        <v>452</v>
      </c>
    </row>
    <row r="28" spans="1:10" x14ac:dyDescent="0.3">
      <c r="A28" s="12" t="s">
        <v>453</v>
      </c>
      <c r="B28" s="12" t="s">
        <v>454</v>
      </c>
      <c r="C28" s="12" t="s">
        <v>397</v>
      </c>
      <c r="D28" s="12" t="s">
        <v>407</v>
      </c>
      <c r="E28" s="12" t="s">
        <v>455</v>
      </c>
      <c r="F28" s="12" t="s">
        <v>442</v>
      </c>
      <c r="G28" s="12" t="s">
        <v>400</v>
      </c>
      <c r="H28" s="12" t="s">
        <v>456</v>
      </c>
      <c r="I28" s="12" t="s">
        <v>457</v>
      </c>
      <c r="J28" s="12" t="s">
        <v>458</v>
      </c>
    </row>
    <row r="29" spans="1:10" x14ac:dyDescent="0.3">
      <c r="A29" s="12" t="s">
        <v>459</v>
      </c>
      <c r="B29" s="12" t="s">
        <v>460</v>
      </c>
      <c r="C29" s="12" t="s">
        <v>426</v>
      </c>
      <c r="D29" s="12" t="s">
        <v>412</v>
      </c>
      <c r="E29" s="12" t="s">
        <v>441</v>
      </c>
      <c r="F29" s="12" t="s">
        <v>442</v>
      </c>
      <c r="G29" s="12" t="s">
        <v>400</v>
      </c>
      <c r="H29" s="12" t="s">
        <v>399</v>
      </c>
      <c r="I29" s="12" t="s">
        <v>461</v>
      </c>
      <c r="J29" s="12" t="s">
        <v>462</v>
      </c>
    </row>
    <row r="30" spans="1:10" x14ac:dyDescent="0.3">
      <c r="A30" s="12" t="s">
        <v>463</v>
      </c>
      <c r="B30" s="12" t="s">
        <v>464</v>
      </c>
      <c r="C30" s="12" t="s">
        <v>397</v>
      </c>
      <c r="D30" s="12" t="s">
        <v>417</v>
      </c>
      <c r="E30" s="12" t="s">
        <v>441</v>
      </c>
      <c r="F30" s="12" t="s">
        <v>465</v>
      </c>
      <c r="G30" s="12" t="s">
        <v>400</v>
      </c>
      <c r="H30" s="12" t="s">
        <v>399</v>
      </c>
      <c r="I30" s="12" t="s">
        <v>466</v>
      </c>
      <c r="J30" s="12" t="s">
        <v>467</v>
      </c>
    </row>
    <row r="31" spans="1:10" x14ac:dyDescent="0.3">
      <c r="A31" s="12" t="s">
        <v>468</v>
      </c>
      <c r="B31" s="12" t="s">
        <v>469</v>
      </c>
      <c r="C31" s="12" t="s">
        <v>397</v>
      </c>
      <c r="D31" s="12" t="s">
        <v>422</v>
      </c>
      <c r="E31" s="12" t="s">
        <v>441</v>
      </c>
      <c r="F31" s="12" t="s">
        <v>442</v>
      </c>
      <c r="G31" s="12" t="s">
        <v>400</v>
      </c>
      <c r="H31" s="12" t="s">
        <v>399</v>
      </c>
      <c r="I31" s="12" t="s">
        <v>470</v>
      </c>
      <c r="J31" s="12" t="s">
        <v>471</v>
      </c>
    </row>
    <row r="32" spans="1:10" x14ac:dyDescent="0.3">
      <c r="A32" s="12" t="s">
        <v>472</v>
      </c>
      <c r="B32" s="12" t="s">
        <v>473</v>
      </c>
      <c r="C32" s="12" t="s">
        <v>397</v>
      </c>
      <c r="D32" s="12" t="s">
        <v>425</v>
      </c>
      <c r="E32" s="12" t="s">
        <v>455</v>
      </c>
      <c r="F32" s="12" t="s">
        <v>442</v>
      </c>
      <c r="G32" s="12" t="s">
        <v>400</v>
      </c>
      <c r="H32" s="12" t="s">
        <v>474</v>
      </c>
      <c r="I32" s="12"/>
      <c r="J32" s="12" t="s">
        <v>458</v>
      </c>
    </row>
    <row r="35" spans="1:8" x14ac:dyDescent="0.3">
      <c r="A35" s="11" t="s">
        <v>475</v>
      </c>
    </row>
    <row r="36" spans="1:8" ht="26.4" x14ac:dyDescent="0.3">
      <c r="A36" s="4" t="s">
        <v>388</v>
      </c>
      <c r="B36" s="4" t="s">
        <v>476</v>
      </c>
      <c r="C36" s="4" t="s">
        <v>477</v>
      </c>
      <c r="D36" s="4" t="s">
        <v>478</v>
      </c>
      <c r="E36" s="4" t="s">
        <v>479</v>
      </c>
      <c r="F36" s="4" t="s">
        <v>480</v>
      </c>
      <c r="G36" s="4" t="s">
        <v>481</v>
      </c>
      <c r="H36" s="4" t="s">
        <v>394</v>
      </c>
    </row>
    <row r="37" spans="1:8" x14ac:dyDescent="0.3">
      <c r="A37" s="12" t="s">
        <v>397</v>
      </c>
      <c r="B37" s="12" t="s">
        <v>482</v>
      </c>
      <c r="C37" s="12" t="s">
        <v>483</v>
      </c>
      <c r="D37" s="12" t="s">
        <v>484</v>
      </c>
      <c r="E37" s="13">
        <v>100000</v>
      </c>
      <c r="F37" s="13">
        <v>50000</v>
      </c>
      <c r="G37" s="13">
        <v>25000</v>
      </c>
      <c r="H37" s="12" t="s">
        <v>485</v>
      </c>
    </row>
    <row r="38" spans="1:8" x14ac:dyDescent="0.3">
      <c r="A38" s="12" t="s">
        <v>408</v>
      </c>
      <c r="B38" s="12" t="s">
        <v>486</v>
      </c>
      <c r="C38" s="12" t="s">
        <v>483</v>
      </c>
      <c r="D38" s="12" t="s">
        <v>487</v>
      </c>
      <c r="E38" s="13">
        <v>100000</v>
      </c>
      <c r="F38" s="13">
        <v>50000</v>
      </c>
      <c r="G38" s="13">
        <v>25000</v>
      </c>
      <c r="H38" s="12" t="s">
        <v>488</v>
      </c>
    </row>
    <row r="39" spans="1:8" x14ac:dyDescent="0.3">
      <c r="A39" s="12" t="s">
        <v>418</v>
      </c>
      <c r="B39" s="12" t="s">
        <v>489</v>
      </c>
      <c r="C39" s="12" t="s">
        <v>483</v>
      </c>
      <c r="D39" s="12" t="s">
        <v>490</v>
      </c>
      <c r="E39" s="13">
        <v>100000</v>
      </c>
      <c r="F39" s="13">
        <v>50000</v>
      </c>
      <c r="G39" s="13">
        <v>25000</v>
      </c>
      <c r="H39" s="12" t="s">
        <v>491</v>
      </c>
    </row>
    <row r="40" spans="1:8" x14ac:dyDescent="0.3">
      <c r="A40" s="12" t="s">
        <v>426</v>
      </c>
      <c r="B40" s="12" t="s">
        <v>492</v>
      </c>
      <c r="C40" s="12" t="s">
        <v>41</v>
      </c>
      <c r="D40" s="12" t="s">
        <v>493</v>
      </c>
      <c r="E40" s="13">
        <v>300000</v>
      </c>
      <c r="F40" s="13">
        <v>150000</v>
      </c>
      <c r="G40" s="13">
        <v>25000</v>
      </c>
      <c r="H40" s="12" t="s">
        <v>494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4" customWidth="1"/>
    <col min="3" max="4" width="12" customWidth="1"/>
  </cols>
  <sheetData>
    <row r="1" spans="1:2" ht="15.6" x14ac:dyDescent="0.3">
      <c r="A1" s="16" t="s">
        <v>495</v>
      </c>
    </row>
    <row r="2" spans="1:2" x14ac:dyDescent="0.3">
      <c r="A2" s="17" t="s">
        <v>496</v>
      </c>
    </row>
    <row r="4" spans="1:2" x14ac:dyDescent="0.3">
      <c r="A4" s="4" t="s">
        <v>497</v>
      </c>
      <c r="B4" s="4" t="s">
        <v>498</v>
      </c>
    </row>
    <row r="5" spans="1:2" x14ac:dyDescent="0.3">
      <c r="A5" s="18" t="s">
        <v>499</v>
      </c>
      <c r="B5" s="18">
        <f>COUNTA('Test Cases'!A2:A45)</f>
        <v>44</v>
      </c>
    </row>
    <row r="6" spans="1:2" x14ac:dyDescent="0.3">
      <c r="A6" s="18" t="s">
        <v>500</v>
      </c>
      <c r="B6" s="18">
        <f>COUNTIF('Test Cases'!L2:L45,"Pass")</f>
        <v>35</v>
      </c>
    </row>
    <row r="7" spans="1:2" x14ac:dyDescent="0.3">
      <c r="A7" s="18" t="s">
        <v>501</v>
      </c>
      <c r="B7" s="18">
        <f>COUNTIF('Test Cases'!L2:L45,"Fail")</f>
        <v>9</v>
      </c>
    </row>
    <row r="8" spans="1:2" x14ac:dyDescent="0.3">
      <c r="A8" s="18" t="s">
        <v>502</v>
      </c>
      <c r="B8" s="18">
        <f>COUNTIF('Test Cases'!L2:L45,"Blocked")</f>
        <v>0</v>
      </c>
    </row>
    <row r="9" spans="1:2" x14ac:dyDescent="0.3">
      <c r="A9" s="18" t="s">
        <v>503</v>
      </c>
      <c r="B9" s="18">
        <f>COUNTIF('Test Cases'!L2:L45,"Not Run")</f>
        <v>0</v>
      </c>
    </row>
    <row r="10" spans="1:2" x14ac:dyDescent="0.3">
      <c r="A10" s="18" t="s">
        <v>51</v>
      </c>
      <c r="B10" s="18">
        <f>COUNTIF('Test Cases'!P2:P45,"Yes")</f>
        <v>42</v>
      </c>
    </row>
    <row r="11" spans="1:2" x14ac:dyDescent="0.3">
      <c r="A11" s="18" t="s">
        <v>504</v>
      </c>
      <c r="B11" s="18">
        <f>COUNTIF('Test Cases'!P2:P45,"No")</f>
        <v>2</v>
      </c>
    </row>
    <row r="12" spans="1:2" x14ac:dyDescent="0.3">
      <c r="A12" s="18" t="s">
        <v>505</v>
      </c>
      <c r="B12" s="18">
        <f>SUMPRODUCT((('Test Cases'!O2:O45)&lt;&gt;"")*1)</f>
        <v>9</v>
      </c>
    </row>
    <row r="13" spans="1:2" x14ac:dyDescent="0.3">
      <c r="A13" s="18" t="s">
        <v>506</v>
      </c>
      <c r="B13" s="19">
        <f>IFERROR(B6/B5,0)</f>
        <v>0.79545454545454541</v>
      </c>
    </row>
    <row r="16" spans="1:2" x14ac:dyDescent="0.3">
      <c r="A16" s="11" t="s">
        <v>507</v>
      </c>
    </row>
    <row r="17" spans="1:4" x14ac:dyDescent="0.3">
      <c r="A17" s="4" t="s">
        <v>41</v>
      </c>
      <c r="B17" s="4" t="s">
        <v>508</v>
      </c>
      <c r="C17" s="4" t="s">
        <v>500</v>
      </c>
      <c r="D17" s="4" t="s">
        <v>501</v>
      </c>
    </row>
    <row r="18" spans="1:4" x14ac:dyDescent="0.3">
      <c r="A18" s="18" t="s">
        <v>57</v>
      </c>
      <c r="B18" s="18">
        <f>COUNTIF('Test Cases'!F2:F45,A18)</f>
        <v>34</v>
      </c>
      <c r="C18" s="18">
        <f>COUNTIFS('Test Cases'!F2:F45,A18,'Test Cases'!L2:L45,"Pass")</f>
        <v>27</v>
      </c>
      <c r="D18" s="18">
        <f>COUNTIFS('Test Cases'!F2:F45,A18,'Test Cases'!L2:L45,"Fail")</f>
        <v>7</v>
      </c>
    </row>
    <row r="19" spans="1:4" x14ac:dyDescent="0.3">
      <c r="A19" s="18" t="s">
        <v>77</v>
      </c>
      <c r="B19" s="18">
        <f>COUNTIF('Test Cases'!F2:F45,A19)</f>
        <v>9</v>
      </c>
      <c r="C19" s="18">
        <f>COUNTIFS('Test Cases'!F2:F45,A19,'Test Cases'!L2:L45,"Pass")</f>
        <v>7</v>
      </c>
      <c r="D19" s="18">
        <f>COUNTIFS('Test Cases'!F2:F45,A19,'Test Cases'!L2:L45,"Fail")</f>
        <v>2</v>
      </c>
    </row>
    <row r="20" spans="1:4" x14ac:dyDescent="0.3">
      <c r="A20" s="18" t="s">
        <v>301</v>
      </c>
      <c r="B20" s="18">
        <f>COUNTIF('Test Cases'!F2:F45,A20)</f>
        <v>1</v>
      </c>
      <c r="C20" s="18">
        <f>COUNTIFS('Test Cases'!F2:F45,A20,'Test Cases'!L2:L45,"Pass")</f>
        <v>1</v>
      </c>
      <c r="D20" s="18">
        <f>COUNTIFS('Test Cases'!F2:F45,A20,'Test Cases'!L2:L45,"Fail")</f>
        <v>0</v>
      </c>
    </row>
    <row r="23" spans="1:4" x14ac:dyDescent="0.3">
      <c r="A23" s="11" t="s">
        <v>509</v>
      </c>
    </row>
    <row r="24" spans="1:4" x14ac:dyDescent="0.3">
      <c r="A24" s="4" t="s">
        <v>39</v>
      </c>
      <c r="B24" s="4" t="s">
        <v>508</v>
      </c>
      <c r="C24" s="4" t="s">
        <v>500</v>
      </c>
      <c r="D24" s="4" t="s">
        <v>501</v>
      </c>
    </row>
    <row r="25" spans="1:4" x14ac:dyDescent="0.3">
      <c r="A25" s="18" t="s">
        <v>55</v>
      </c>
      <c r="B25" s="18">
        <f>COUNTIF('Test Cases'!D2:D45,A25)</f>
        <v>18</v>
      </c>
      <c r="C25" s="18">
        <f>COUNTIFS('Test Cases'!D2:D45,A25,'Test Cases'!L2:L45,"Pass")</f>
        <v>18</v>
      </c>
      <c r="D25" s="18">
        <f>COUNTIFS('Test Cases'!D2:D45,A25,'Test Cases'!L2:L45,"Fail")</f>
        <v>0</v>
      </c>
    </row>
    <row r="26" spans="1:4" x14ac:dyDescent="0.3">
      <c r="A26" s="18" t="s">
        <v>155</v>
      </c>
      <c r="B26" s="18">
        <f>COUNTIF('Test Cases'!D2:D45,A26)</f>
        <v>5</v>
      </c>
      <c r="C26" s="18">
        <f>COUNTIFS('Test Cases'!D2:D45,A26,'Test Cases'!L2:L45,"Pass")</f>
        <v>4</v>
      </c>
      <c r="D26" s="18">
        <f>COUNTIFS('Test Cases'!D2:D45,A26,'Test Cases'!L2:L45,"Fail")</f>
        <v>1</v>
      </c>
    </row>
    <row r="27" spans="1:4" x14ac:dyDescent="0.3">
      <c r="A27" s="18" t="s">
        <v>86</v>
      </c>
      <c r="B27" s="18">
        <f>COUNTIF('Test Cases'!D2:D45,A27)</f>
        <v>4</v>
      </c>
      <c r="C27" s="18">
        <f>COUNTIFS('Test Cases'!D2:D45,A27,'Test Cases'!L2:L45,"Pass")</f>
        <v>3</v>
      </c>
      <c r="D27" s="18">
        <f>COUNTIFS('Test Cases'!D2:D45,A27,'Test Cases'!L2:L45,"Fail")</f>
        <v>1</v>
      </c>
    </row>
    <row r="28" spans="1:4" x14ac:dyDescent="0.3">
      <c r="A28" s="18" t="s">
        <v>130</v>
      </c>
      <c r="B28" s="18">
        <f>COUNTIF('Test Cases'!D2:D45,A28)</f>
        <v>5</v>
      </c>
      <c r="C28" s="18">
        <f>COUNTIFS('Test Cases'!D2:D45,A28,'Test Cases'!L2:L45,"Pass")</f>
        <v>3</v>
      </c>
      <c r="D28" s="18">
        <f>COUNTIFS('Test Cases'!D2:D45,A28,'Test Cases'!L2:L45,"Fail")</f>
        <v>2</v>
      </c>
    </row>
    <row r="29" spans="1:4" x14ac:dyDescent="0.3">
      <c r="A29" s="18" t="s">
        <v>182</v>
      </c>
      <c r="B29" s="18">
        <f>COUNTIF('Test Cases'!D2:D45,A29)</f>
        <v>6</v>
      </c>
      <c r="C29" s="18">
        <f>COUNTIFS('Test Cases'!D2:D45,A29,'Test Cases'!L2:L45,"Pass")</f>
        <v>4</v>
      </c>
      <c r="D29" s="18">
        <f>COUNTIFS('Test Cases'!D2:D45,A29,'Test Cases'!L2:L45,"Fail")</f>
        <v>2</v>
      </c>
    </row>
    <row r="30" spans="1:4" x14ac:dyDescent="0.3">
      <c r="A30" s="18" t="s">
        <v>352</v>
      </c>
      <c r="B30" s="18">
        <f>COUNTIF('Test Cases'!D2:D45,A30)</f>
        <v>2</v>
      </c>
      <c r="C30" s="18">
        <f>COUNTIFS('Test Cases'!D2:D45,A30,'Test Cases'!L2:L45,"Pass")</f>
        <v>1</v>
      </c>
      <c r="D30" s="18">
        <f>COUNTIFS('Test Cases'!D2:D45,A30,'Test Cases'!L2:L45,"Fail")</f>
        <v>1</v>
      </c>
    </row>
    <row r="31" spans="1:4" x14ac:dyDescent="0.3">
      <c r="A31" s="18" t="s">
        <v>271</v>
      </c>
      <c r="B31" s="18">
        <f>COUNTIF('Test Cases'!D2:D45,A31)</f>
        <v>2</v>
      </c>
      <c r="C31" s="18">
        <f>COUNTIFS('Test Cases'!D2:D45,A31,'Test Cases'!L2:L45,"Pass")</f>
        <v>1</v>
      </c>
      <c r="D31" s="18">
        <f>COUNTIFS('Test Cases'!D2:D45,A31,'Test Cases'!L2:L45,"Fail")</f>
        <v>1</v>
      </c>
    </row>
    <row r="32" spans="1:4" x14ac:dyDescent="0.3">
      <c r="A32" s="18" t="s">
        <v>369</v>
      </c>
      <c r="B32" s="18">
        <f>COUNTIF('Test Cases'!D2:D45,A32)</f>
        <v>2</v>
      </c>
      <c r="C32" s="18">
        <f>COUNTIFS('Test Cases'!D2:D45,A32,'Test Cases'!L2:L45,"Pass")</f>
        <v>1</v>
      </c>
      <c r="D32" s="18">
        <f>COUNTIFS('Test Cases'!D2:D45,A32,'Test Cases'!L2:L45,"Fail")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52" customWidth="1"/>
    <col min="3" max="3" width="15" customWidth="1"/>
    <col min="4" max="5" width="10" customWidth="1"/>
    <col min="6" max="6" width="28" customWidth="1"/>
    <col min="7" max="7" width="14" customWidth="1"/>
  </cols>
  <sheetData>
    <row r="1" spans="1:7" ht="15.6" x14ac:dyDescent="0.3">
      <c r="A1" s="16" t="s">
        <v>510</v>
      </c>
    </row>
    <row r="2" spans="1:7" x14ac:dyDescent="0.3">
      <c r="A2" s="17" t="s">
        <v>511</v>
      </c>
    </row>
    <row r="4" spans="1:7" x14ac:dyDescent="0.3">
      <c r="A4" s="4" t="s">
        <v>38</v>
      </c>
      <c r="B4" s="4" t="s">
        <v>512</v>
      </c>
      <c r="C4" s="4" t="s">
        <v>513</v>
      </c>
      <c r="D4" s="4" t="s">
        <v>500</v>
      </c>
      <c r="E4" s="4" t="s">
        <v>501</v>
      </c>
      <c r="F4" s="4" t="s">
        <v>514</v>
      </c>
      <c r="G4" s="4" t="s">
        <v>515</v>
      </c>
    </row>
    <row r="5" spans="1:7" x14ac:dyDescent="0.3">
      <c r="A5" s="12" t="s">
        <v>54</v>
      </c>
      <c r="B5" s="12" t="s">
        <v>516</v>
      </c>
      <c r="C5" s="12">
        <f>COUNTIF('Test Cases'!C2:C45,A5)</f>
        <v>3</v>
      </c>
      <c r="D5" s="12">
        <f>COUNTIFS('Test Cases'!C2:C45,A5,'Test Cases'!L2:L45,"Pass")</f>
        <v>3</v>
      </c>
      <c r="E5" s="12">
        <f>COUNTIFS('Test Cases'!C2:C45,A5,'Test Cases'!L2:L45,"Fail")</f>
        <v>0</v>
      </c>
      <c r="F5" s="12" t="str">
        <f t="shared" ref="F5:F19" si="0">IF(C5=0,"NOT COVERED",IF(E5&gt;0,"COVERED - DEFECTS OPEN","COVERED - PASSING"))</f>
        <v>COVERED - PASSING</v>
      </c>
      <c r="G5" s="12" t="s">
        <v>517</v>
      </c>
    </row>
    <row r="6" spans="1:7" x14ac:dyDescent="0.3">
      <c r="A6" s="12" t="s">
        <v>85</v>
      </c>
      <c r="B6" s="12" t="s">
        <v>518</v>
      </c>
      <c r="C6" s="12">
        <f>COUNTIF('Test Cases'!C2:C45,A6)</f>
        <v>4</v>
      </c>
      <c r="D6" s="12">
        <f>COUNTIFS('Test Cases'!C2:C45,A6,'Test Cases'!L2:L45,"Pass")</f>
        <v>3</v>
      </c>
      <c r="E6" s="12">
        <f>COUNTIFS('Test Cases'!C2:C45,A6,'Test Cases'!L2:L45,"Fail")</f>
        <v>1</v>
      </c>
      <c r="F6" s="12" t="str">
        <f t="shared" si="0"/>
        <v>COVERED - DEFECTS OPEN</v>
      </c>
      <c r="G6" s="12" t="s">
        <v>99</v>
      </c>
    </row>
    <row r="7" spans="1:7" x14ac:dyDescent="0.3">
      <c r="A7" s="12" t="s">
        <v>109</v>
      </c>
      <c r="B7" s="12" t="s">
        <v>519</v>
      </c>
      <c r="C7" s="12">
        <f>COUNTIF('Test Cases'!C2:C45,A7)</f>
        <v>4</v>
      </c>
      <c r="D7" s="12">
        <f>COUNTIFS('Test Cases'!C2:C45,A7,'Test Cases'!L2:L45,"Pass")</f>
        <v>4</v>
      </c>
      <c r="E7" s="12">
        <f>COUNTIFS('Test Cases'!C2:C45,A7,'Test Cases'!L2:L45,"Fail")</f>
        <v>0</v>
      </c>
      <c r="F7" s="12" t="str">
        <f t="shared" si="0"/>
        <v>COVERED - PASSING</v>
      </c>
      <c r="G7" s="12" t="s">
        <v>517</v>
      </c>
    </row>
    <row r="8" spans="1:7" x14ac:dyDescent="0.3">
      <c r="A8" s="12" t="s">
        <v>129</v>
      </c>
      <c r="B8" s="12" t="s">
        <v>520</v>
      </c>
      <c r="C8" s="12">
        <f>COUNTIF('Test Cases'!C2:C45,A8)</f>
        <v>3</v>
      </c>
      <c r="D8" s="12">
        <f>COUNTIFS('Test Cases'!C2:C45,A8,'Test Cases'!L2:L45,"Pass")</f>
        <v>2</v>
      </c>
      <c r="E8" s="12">
        <f>COUNTIFS('Test Cases'!C2:C45,A8,'Test Cases'!L2:L45,"Fail")</f>
        <v>1</v>
      </c>
      <c r="F8" s="12" t="str">
        <f t="shared" si="0"/>
        <v>COVERED - DEFECTS OPEN</v>
      </c>
      <c r="G8" s="12" t="s">
        <v>151</v>
      </c>
    </row>
    <row r="9" spans="1:7" x14ac:dyDescent="0.3">
      <c r="A9" s="12" t="s">
        <v>154</v>
      </c>
      <c r="B9" s="12" t="s">
        <v>521</v>
      </c>
      <c r="C9" s="12">
        <f>COUNTIF('Test Cases'!C2:C45,A9)</f>
        <v>5</v>
      </c>
      <c r="D9" s="12">
        <f>COUNTIFS('Test Cases'!C2:C45,A9,'Test Cases'!L2:L45,"Pass")</f>
        <v>4</v>
      </c>
      <c r="E9" s="12">
        <f>COUNTIFS('Test Cases'!C2:C45,A9,'Test Cases'!L2:L45,"Fail")</f>
        <v>1</v>
      </c>
      <c r="F9" s="12" t="str">
        <f t="shared" si="0"/>
        <v>COVERED - DEFECTS OPEN</v>
      </c>
      <c r="G9" s="12" t="s">
        <v>298</v>
      </c>
    </row>
    <row r="10" spans="1:7" x14ac:dyDescent="0.3">
      <c r="A10" s="12" t="s">
        <v>181</v>
      </c>
      <c r="B10" s="12" t="s">
        <v>522</v>
      </c>
      <c r="C10" s="12">
        <f>COUNTIF('Test Cases'!C2:C45,A10)</f>
        <v>3</v>
      </c>
      <c r="D10" s="12">
        <f>COUNTIFS('Test Cases'!C2:C45,A10,'Test Cases'!L2:L45,"Pass")</f>
        <v>2</v>
      </c>
      <c r="E10" s="12">
        <f>COUNTIFS('Test Cases'!C2:C45,A10,'Test Cases'!L2:L45,"Fail")</f>
        <v>1</v>
      </c>
      <c r="F10" s="12" t="str">
        <f t="shared" si="0"/>
        <v>COVERED - DEFECTS OPEN</v>
      </c>
      <c r="G10" s="12" t="s">
        <v>198</v>
      </c>
    </row>
    <row r="11" spans="1:7" x14ac:dyDescent="0.3">
      <c r="A11" s="12" t="s">
        <v>201</v>
      </c>
      <c r="B11" s="12" t="s">
        <v>523</v>
      </c>
      <c r="C11" s="12">
        <f>COUNTIF('Test Cases'!C2:C45,A11)</f>
        <v>2</v>
      </c>
      <c r="D11" s="12">
        <f>COUNTIFS('Test Cases'!C2:C45,A11,'Test Cases'!L2:L45,"Pass")</f>
        <v>2</v>
      </c>
      <c r="E11" s="12">
        <f>COUNTIFS('Test Cases'!C2:C45,A11,'Test Cases'!L2:L45,"Fail")</f>
        <v>0</v>
      </c>
      <c r="F11" s="12" t="str">
        <f t="shared" si="0"/>
        <v>COVERED - PASSING</v>
      </c>
      <c r="G11" s="12" t="s">
        <v>517</v>
      </c>
    </row>
    <row r="12" spans="1:7" x14ac:dyDescent="0.3">
      <c r="A12" s="12" t="s">
        <v>214</v>
      </c>
      <c r="B12" s="12" t="s">
        <v>524</v>
      </c>
      <c r="C12" s="12">
        <f>COUNTIF('Test Cases'!C2:C45,A12)</f>
        <v>3</v>
      </c>
      <c r="D12" s="12">
        <f>COUNTIFS('Test Cases'!C2:C45,A12,'Test Cases'!L2:L45,"Pass")</f>
        <v>3</v>
      </c>
      <c r="E12" s="12">
        <f>COUNTIFS('Test Cases'!C2:C45,A12,'Test Cases'!L2:L45,"Fail")</f>
        <v>0</v>
      </c>
      <c r="F12" s="12" t="str">
        <f t="shared" si="0"/>
        <v>COVERED - PASSING</v>
      </c>
      <c r="G12" s="12" t="s">
        <v>517</v>
      </c>
    </row>
    <row r="13" spans="1:7" x14ac:dyDescent="0.3">
      <c r="A13" s="12" t="s">
        <v>227</v>
      </c>
      <c r="B13" s="12" t="s">
        <v>525</v>
      </c>
      <c r="C13" s="12">
        <f>COUNTIF('Test Cases'!C2:C45,A13)</f>
        <v>3</v>
      </c>
      <c r="D13" s="12">
        <f>COUNTIFS('Test Cases'!C2:C45,A13,'Test Cases'!L2:L45,"Pass")</f>
        <v>3</v>
      </c>
      <c r="E13" s="12">
        <f>COUNTIFS('Test Cases'!C2:C45,A13,'Test Cases'!L2:L45,"Fail")</f>
        <v>0</v>
      </c>
      <c r="F13" s="12" t="str">
        <f t="shared" si="0"/>
        <v>COVERED - PASSING</v>
      </c>
      <c r="G13" s="12" t="s">
        <v>517</v>
      </c>
    </row>
    <row r="14" spans="1:7" x14ac:dyDescent="0.3">
      <c r="A14" s="12" t="s">
        <v>240</v>
      </c>
      <c r="B14" s="12" t="s">
        <v>526</v>
      </c>
      <c r="C14" s="12">
        <f>COUNTIF('Test Cases'!C2:C45,A14)</f>
        <v>3</v>
      </c>
      <c r="D14" s="12">
        <f>COUNTIFS('Test Cases'!C2:C45,A14,'Test Cases'!L2:L45,"Pass")</f>
        <v>3</v>
      </c>
      <c r="E14" s="12">
        <f>COUNTIFS('Test Cases'!C2:C45,A14,'Test Cases'!L2:L45,"Fail")</f>
        <v>0</v>
      </c>
      <c r="F14" s="12" t="str">
        <f t="shared" si="0"/>
        <v>COVERED - PASSING</v>
      </c>
      <c r="G14" s="12" t="s">
        <v>517</v>
      </c>
    </row>
    <row r="15" spans="1:7" x14ac:dyDescent="0.3">
      <c r="A15" s="12" t="s">
        <v>254</v>
      </c>
      <c r="B15" s="12" t="s">
        <v>527</v>
      </c>
      <c r="C15" s="12">
        <f>COUNTIF('Test Cases'!C2:C45,A15)</f>
        <v>3</v>
      </c>
      <c r="D15" s="12">
        <f>COUNTIFS('Test Cases'!C2:C45,A15,'Test Cases'!L2:L45,"Pass")</f>
        <v>2</v>
      </c>
      <c r="E15" s="12">
        <f>COUNTIFS('Test Cases'!C2:C45,A15,'Test Cases'!L2:L45,"Fail")</f>
        <v>1</v>
      </c>
      <c r="F15" s="12" t="str">
        <f t="shared" si="0"/>
        <v>COVERED - DEFECTS OPEN</v>
      </c>
      <c r="G15" s="12" t="s">
        <v>326</v>
      </c>
    </row>
    <row r="16" spans="1:7" x14ac:dyDescent="0.3">
      <c r="A16" s="12" t="s">
        <v>262</v>
      </c>
      <c r="B16" s="12" t="s">
        <v>528</v>
      </c>
      <c r="C16" s="12">
        <f>COUNTIF('Test Cases'!C2:C45,A16)</f>
        <v>2</v>
      </c>
      <c r="D16" s="12">
        <f>COUNTIFS('Test Cases'!C2:C45,A16,'Test Cases'!L2:L45,"Pass")</f>
        <v>1</v>
      </c>
      <c r="E16" s="12">
        <f>COUNTIFS('Test Cases'!C2:C45,A16,'Test Cases'!L2:L45,"Fail")</f>
        <v>1</v>
      </c>
      <c r="F16" s="12" t="str">
        <f t="shared" si="0"/>
        <v>COVERED - DEFECTS OPEN</v>
      </c>
      <c r="G16" s="12" t="s">
        <v>340</v>
      </c>
    </row>
    <row r="17" spans="1:7" x14ac:dyDescent="0.3">
      <c r="A17" s="12" t="s">
        <v>270</v>
      </c>
      <c r="B17" s="12" t="s">
        <v>529</v>
      </c>
      <c r="C17" s="12">
        <f>COUNTIF('Test Cases'!C2:C45,A17)</f>
        <v>2</v>
      </c>
      <c r="D17" s="12">
        <f>COUNTIFS('Test Cases'!C2:C45,A17,'Test Cases'!L2:L45,"Pass")</f>
        <v>1</v>
      </c>
      <c r="E17" s="12">
        <f>COUNTIFS('Test Cases'!C2:C45,A17,'Test Cases'!L2:L45,"Fail")</f>
        <v>1</v>
      </c>
      <c r="F17" s="12" t="str">
        <f t="shared" si="0"/>
        <v>COVERED - DEFECTS OPEN</v>
      </c>
      <c r="G17" s="12" t="s">
        <v>348</v>
      </c>
    </row>
    <row r="18" spans="1:7" x14ac:dyDescent="0.3">
      <c r="A18" s="12" t="s">
        <v>351</v>
      </c>
      <c r="B18" s="12" t="s">
        <v>530</v>
      </c>
      <c r="C18" s="12">
        <f>COUNTIF('Test Cases'!C2:C45,A18)</f>
        <v>2</v>
      </c>
      <c r="D18" s="12">
        <f>COUNTIFS('Test Cases'!C2:C45,A18,'Test Cases'!L2:L45,"Pass")</f>
        <v>1</v>
      </c>
      <c r="E18" s="12">
        <f>COUNTIFS('Test Cases'!C2:C45,A18,'Test Cases'!L2:L45,"Fail")</f>
        <v>1</v>
      </c>
      <c r="F18" s="12" t="str">
        <f t="shared" si="0"/>
        <v>COVERED - DEFECTS OPEN</v>
      </c>
      <c r="G18" s="12" t="s">
        <v>359</v>
      </c>
    </row>
    <row r="19" spans="1:7" x14ac:dyDescent="0.3">
      <c r="A19" s="12" t="s">
        <v>368</v>
      </c>
      <c r="B19" s="12" t="s">
        <v>531</v>
      </c>
      <c r="C19" s="12">
        <f>COUNTIF('Test Cases'!C2:C45,A19)</f>
        <v>2</v>
      </c>
      <c r="D19" s="12">
        <f>COUNTIFS('Test Cases'!C2:C45,A19,'Test Cases'!L2:L45,"Pass")</f>
        <v>1</v>
      </c>
      <c r="E19" s="12">
        <f>COUNTIFS('Test Cases'!C2:C45,A19,'Test Cases'!L2:L45,"Fail")</f>
        <v>1</v>
      </c>
      <c r="F19" s="12" t="str">
        <f t="shared" si="0"/>
        <v>COVERED - DEFECTS OPEN</v>
      </c>
      <c r="G19" s="12" t="s">
        <v>376</v>
      </c>
    </row>
    <row r="21" spans="1:7" x14ac:dyDescent="0.3">
      <c r="A21" s="1" t="s">
        <v>532</v>
      </c>
      <c r="C21" s="20">
        <f>SUM(C5:C19)</f>
        <v>44</v>
      </c>
      <c r="D21" s="20">
        <f>SUM(D5:D19)</f>
        <v>35</v>
      </c>
      <c r="E21" s="20">
        <f>SUM(E5:E19)</f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Test Cases</vt:lpstr>
      <vt:lpstr>Test Data</vt:lpstr>
      <vt:lpstr>Execution Summary</vt:lpstr>
      <vt:lpstr>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Montajab AL-Hussein</cp:lastModifiedBy>
  <cp:revision>0</cp:revision>
  <dcterms:created xsi:type="dcterms:W3CDTF">2026-08-11T23:42:35Z</dcterms:created>
  <dcterms:modified xsi:type="dcterms:W3CDTF">2026-08-12T01:01:16Z</dcterms:modified>
  <dc:language>en-US</dc:language>
</cp:coreProperties>
</file>